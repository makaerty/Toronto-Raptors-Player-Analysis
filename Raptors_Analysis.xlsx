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kopylovmakar/Desktop/"/>
    </mc:Choice>
  </mc:AlternateContent>
  <xr:revisionPtr revIDLastSave="0" documentId="13_ncr:1_{61334964-CC9B-734C-9109-F86D49839F38}" xr6:coauthVersionLast="47" xr6:coauthVersionMax="47" xr10:uidLastSave="{00000000-0000-0000-0000-000000000000}"/>
  <bookViews>
    <workbookView xWindow="1960" yWindow="660" windowWidth="25360" windowHeight="17180" activeTab="2" xr2:uid="{00000000-000D-0000-FFFF-FFFF00000000}"/>
  </bookViews>
  <sheets>
    <sheet name="Data" sheetId="1" r:id="rId1"/>
    <sheet name="Position Analysis" sheetId="2" r:id="rId2"/>
    <sheet name="Starting 5 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3" l="1"/>
  <c r="E14" i="3"/>
  <c r="L24" i="3"/>
  <c r="D14" i="3"/>
  <c r="A36" i="2" a="1"/>
  <c r="A29" i="2" a="1"/>
  <c r="A21" i="2" a="1"/>
  <c r="A13" i="2" a="1"/>
  <c r="A6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<sst xmlns="http://schemas.openxmlformats.org/spreadsheetml/2006/main" count="287" uniqueCount="73">
  <si>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</si>
  <si>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</si>
  <si>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</si>
  <si>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</si>
  <si>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</si>
  <si>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</si>
  <si>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</si>
  <si>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</si>
  <si>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</si>
  <si>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</si>
  <si>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</si>
  <si>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</si>
  <si>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</si>
  <si>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</si>
  <si>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</si>
  <si>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</si>
  <si>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</si>
  <si>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</si>
  <si>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</si>
  <si>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</si>
  <si>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</si>
  <si>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</si>
  <si>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</si>
  <si>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</si>
  <si>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</si>
  <si>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</si>
  <si>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</si>
  <si>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</si>
  <si>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</si>
  <si>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Brandon Ingram</t>
  </si>
  <si>
    <t>SF</t>
  </si>
  <si>
    <t>Scottie Barnes</t>
  </si>
  <si>
    <t>Immanuel Quickley</t>
  </si>
  <si>
    <t>PG</t>
  </si>
  <si>
    <t>RJ Barrett</t>
  </si>
  <si>
    <t>Jakob Poeltl</t>
  </si>
  <si>
    <t>C</t>
  </si>
  <si>
    <t>Jamal Shead</t>
  </si>
  <si>
    <t>Collin Murray-Boyles</t>
  </si>
  <si>
    <t>Sandro Mamukelashvili</t>
  </si>
  <si>
    <t>Ja'Kobe Walter</t>
  </si>
  <si>
    <t>SG</t>
  </si>
  <si>
    <t>Ochai Agbaji</t>
  </si>
  <si>
    <t>Gradey Dick</t>
  </si>
  <si>
    <t>A.J. Lawson</t>
  </si>
  <si>
    <t>Jamison Battle</t>
  </si>
  <si>
    <t>Markelle Fultz</t>
  </si>
  <si>
    <t>Chucky Hepburn</t>
  </si>
  <si>
    <t>Alijah Martin</t>
  </si>
  <si>
    <t>Jonathan Mogbo</t>
  </si>
  <si>
    <t>Trayce Jackson-Davis</t>
  </si>
  <si>
    <t>Garrett Temple</t>
  </si>
  <si>
    <t>Mo Bamba</t>
  </si>
  <si>
    <t>Team Totals</t>
  </si>
  <si>
    <t>82</t>
  </si>
  <si>
    <t>Statistics Per Position</t>
  </si>
  <si>
    <r>
      <t xml:space="preserve">Position: </t>
    </r>
    <r>
      <rPr>
        <b/>
        <sz val="14"/>
        <color theme="0"/>
        <rFont val="Carlito"/>
      </rPr>
      <t>PG</t>
    </r>
  </si>
  <si>
    <r>
      <t xml:space="preserve">Position: </t>
    </r>
    <r>
      <rPr>
        <b/>
        <sz val="14"/>
        <color theme="0"/>
        <rFont val="Carlito"/>
      </rPr>
      <t>SG</t>
    </r>
  </si>
  <si>
    <r>
      <t xml:space="preserve">Position: </t>
    </r>
    <r>
      <rPr>
        <b/>
        <sz val="14"/>
        <color theme="0"/>
        <rFont val="Carlito"/>
      </rPr>
      <t>SF</t>
    </r>
  </si>
  <si>
    <r>
      <t xml:space="preserve">Position: </t>
    </r>
    <r>
      <rPr>
        <b/>
        <sz val="14"/>
        <color rgb="FFFFFFFF"/>
        <rFont val="Carlito"/>
      </rPr>
      <t>PF</t>
    </r>
  </si>
  <si>
    <r>
      <t xml:space="preserve">Position: </t>
    </r>
    <r>
      <rPr>
        <b/>
        <sz val="14"/>
        <color rgb="FFFFFFFF"/>
        <rFont val="Carlito"/>
      </rPr>
      <t>C</t>
    </r>
  </si>
  <si>
    <t xml:space="preserve">Starters </t>
  </si>
  <si>
    <t>6th man</t>
  </si>
  <si>
    <t>Comparison with League Average</t>
  </si>
  <si>
    <t>PG AVG</t>
  </si>
  <si>
    <t xml:space="preserve">RJ Barrett </t>
  </si>
  <si>
    <t>SG AVG</t>
  </si>
  <si>
    <t>SF AVG</t>
  </si>
  <si>
    <t>PF AVG</t>
  </si>
  <si>
    <t>C AVG</t>
  </si>
  <si>
    <t xml:space="preserve">Jamal Shead </t>
  </si>
  <si>
    <t>Off bench AVG</t>
  </si>
  <si>
    <t>AST/TOV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</si>
</sst>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1">
    <font>
      <sz val="11"/>
      <name val="Carlito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26"/>
      <color theme="0"/>
      <name val="Carlito"/>
    </font>
    <font>
      <sz val="14"/>
      <color theme="0"/>
      <name val="Carlito"/>
    </font>
    <font>
      <b/>
      <sz val="14"/>
      <color theme="0"/>
      <name val="Carlito"/>
    </font>
    <font>
      <sz val="14"/>
      <color rgb="FFFFFFFF"/>
      <name val="Carlito"/>
    </font>
    <font>
      <b/>
      <sz val="14"/>
      <color rgb="FFFFFFFF"/>
      <name val="Carlito"/>
    </font>
    <font>
      <b/>
      <sz val="11"/>
      <color rgb="FFFFFFFF"/>
      <name val="Calibri"/>
      <family val="2"/>
    </font>
    <font>
      <sz val="14"/>
      <name val="Carlito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97132"/>
        <bgColor rgb="FF000000"/>
      </patternFill>
    </fill>
    <fill>
      <patternFill patternType="solid">
        <fgColor rgb="FF156082"/>
        <bgColor rgb="FF156082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2" fillId="4" borderId="0" xfId="0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3" fillId="2" borderId="2" xfId="0" applyFont="1" applyFill="1" applyBorder="1" applyAlignment="1">
      <alignment vertical="center"/>
    </xf>
    <xf numFmtId="165" fontId="3" fillId="2" borderId="2" xfId="0" applyNumberFormat="1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4" xfId="0" applyBorder="1"/>
    <xf numFmtId="0" fontId="9" fillId="8" borderId="4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5" fillId="6" borderId="4" xfId="0" applyFont="1" applyFill="1" applyBorder="1"/>
    <xf numFmtId="0" fontId="10" fillId="0" borderId="4" xfId="0" applyFont="1" applyBorder="1"/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0" fillId="0" borderId="11" xfId="0" applyBorder="1"/>
    <xf numFmtId="0" fontId="0" fillId="0" borderId="3" xfId="0" applyBorder="1"/>
    <xf numFmtId="0" fontId="0" fillId="0" borderId="12" xfId="0" applyBorder="1"/>
    <xf numFmtId="165" fontId="0" fillId="0" borderId="1" xfId="0" applyNumberFormat="1" applyBorder="1"/>
    <xf numFmtId="2" fontId="0" fillId="0" borderId="1" xfId="0" applyNumberFormat="1" applyBorder="1"/>
    <xf numFmtId="0" fontId="0" fillId="0" borderId="8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6" xfId="0" applyBorder="1"/>
    <xf numFmtId="2" fontId="0" fillId="0" borderId="9" xfId="0" applyNumberFormat="1" applyBorder="1"/>
    <xf numFmtId="165" fontId="0" fillId="0" borderId="12" xfId="0" applyNumberFormat="1" applyBorder="1"/>
    <xf numFmtId="2" fontId="0" fillId="0" borderId="10" xfId="0" applyNumberFormat="1" applyBorder="1"/>
    <xf numFmtId="0" fontId="4" fillId="5" borderId="1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wrapText="1"/>
    </xf>
    <xf numFmtId="0" fontId="7" fillId="7" borderId="3" xfId="0" applyFont="1" applyFill="1" applyBorder="1" applyAlignment="1">
      <alignment horizontal="center" wrapText="1"/>
    </xf>
    <xf numFmtId="0" fontId="4" fillId="5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</cellXfs>
  <cellStyles count="1"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ptorsPerGameTable" displayName="RaptorsPerGameTable" ref="A1:AC22" totalsRowShown="0" headerRowDxfId="47" dataDxfId="46">
  <tableColumns count="29">
    <tableColumn id="1" xr3:uid="{00000000-0010-0000-0000-000001000000}" name="Rk" dataDxfId="45"/>
    <tableColumn id="2" xr3:uid="{00000000-0010-0000-0000-000002000000}" name="Player" dataDxfId="44"/>
    <tableColumn id="3" xr3:uid="{00000000-0010-0000-0000-000003000000}" name="Age" dataDxfId="43"/>
    <tableColumn id="4" xr3:uid="{00000000-0010-0000-0000-000004000000}" name="Pos" dataDxfId="42"/>
    <tableColumn id="5" xr3:uid="{00000000-0010-0000-0000-000005000000}" name="G" dataDxfId="41"/>
    <tableColumn id="6" xr3:uid="{00000000-0010-0000-0000-000006000000}" name="GS" dataDxfId="40"/>
    <tableColumn id="7" xr3:uid="{00000000-0010-0000-0000-000007000000}" name="MP" dataDxfId="39"/>
    <tableColumn id="8" xr3:uid="{00000000-0010-0000-0000-000008000000}" name="FG" dataDxfId="38"/>
    <tableColumn id="9" xr3:uid="{00000000-0010-0000-0000-000009000000}" name="FGA" dataDxfId="37"/>
    <tableColumn id="10" xr3:uid="{00000000-0010-0000-0000-00000A000000}" name="FG%" dataDxfId="36"/>
    <tableColumn id="11" xr3:uid="{00000000-0010-0000-0000-00000B000000}" name="3P" dataDxfId="35"/>
    <tableColumn id="12" xr3:uid="{00000000-0010-0000-0000-00000C000000}" name="3PA" dataDxfId="34"/>
    <tableColumn id="13" xr3:uid="{00000000-0010-0000-0000-00000D000000}" name="3P%" dataDxfId="33"/>
    <tableColumn id="14" xr3:uid="{00000000-0010-0000-0000-00000E000000}" name="2P" dataDxfId="32"/>
    <tableColumn id="15" xr3:uid="{00000000-0010-0000-0000-00000F000000}" name="2PA" dataDxfId="31"/>
    <tableColumn id="16" xr3:uid="{00000000-0010-0000-0000-000010000000}" name="2P%" dataDxfId="30"/>
    <tableColumn id="17" xr3:uid="{00000000-0010-0000-0000-000011000000}" name="eFG%" dataDxfId="29"/>
    <tableColumn id="18" xr3:uid="{00000000-0010-0000-0000-000012000000}" name="FT" dataDxfId="28"/>
    <tableColumn id="19" xr3:uid="{00000000-0010-0000-0000-000013000000}" name="FTA" dataDxfId="27"/>
    <tableColumn id="20" xr3:uid="{00000000-0010-0000-0000-000014000000}" name="FT%" dataDxfId="26"/>
    <tableColumn id="21" xr3:uid="{00000000-0010-0000-0000-000015000000}" name="ORB" dataDxfId="25"/>
    <tableColumn id="22" xr3:uid="{00000000-0010-0000-0000-000016000000}" name="DRB" dataDxfId="24"/>
    <tableColumn id="23" xr3:uid="{00000000-0010-0000-0000-000017000000}" name="TRB" dataDxfId="23"/>
    <tableColumn id="24" xr3:uid="{00000000-0010-0000-0000-000018000000}" name="AST" dataDxfId="22"/>
    <tableColumn id="25" xr3:uid="{00000000-0010-0000-0000-000019000000}" name="STL" dataDxfId="21"/>
    <tableColumn id="26" xr3:uid="{00000000-0010-0000-0000-00001A000000}" name="BLK" dataDxfId="20"/>
    <tableColumn id="27" xr3:uid="{00000000-0010-0000-0000-00001B000000}" name="TOV" dataDxfId="19"/>
    <tableColumn id="28" xr3:uid="{00000000-0010-0000-0000-00001C000000}" name="PF" dataDxfId="18"/>
    <tableColumn id="29" xr3:uid="{00000000-0010-0000-0000-00001D000000}" name="PTS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"/>
  <sheetViews>
    <sheetView workbookViewId="0">
      <selection activeCell="B7" sqref="B7"/>
    </sheetView>
  </sheetViews>
  <sheetFormatPr baseColWidth="10" defaultColWidth="8.83203125" defaultRowHeight="14"/>
  <cols>
    <col min="1" max="1" width="8" customWidth="1"/>
    <col min="2" max="2" width="23" customWidth="1"/>
    <col min="3" max="3" width="6" customWidth="1"/>
    <col min="4" max="4" width="8" customWidth="1"/>
    <col min="5" max="5" width="4.1640625" customWidth="1"/>
    <col min="6" max="6" width="5.1640625" customWidth="1"/>
    <col min="7" max="7" width="5.6640625" customWidth="1"/>
    <col min="8" max="8" width="5" customWidth="1"/>
    <col min="9" max="9" width="6.1640625" customWidth="1"/>
    <col min="10" max="10" width="9.33203125" customWidth="1"/>
    <col min="11" max="11" width="5" customWidth="1"/>
    <col min="12" max="12" width="6" customWidth="1"/>
    <col min="13" max="13" width="9.6640625" customWidth="1"/>
    <col min="14" max="14" width="5" customWidth="1"/>
    <col min="15" max="15" width="6" customWidth="1"/>
    <col min="16" max="16" width="6.1640625" customWidth="1"/>
    <col min="17" max="17" width="9.6640625" customWidth="1"/>
    <col min="18" max="18" width="4.6640625" customWidth="1"/>
    <col min="19" max="19" width="5.6640625" customWidth="1"/>
    <col min="20" max="20" width="9.33203125" customWidth="1"/>
    <col min="21" max="21" width="6.33203125" customWidth="1"/>
    <col min="22" max="22" width="6.1640625" customWidth="1"/>
    <col min="23" max="23" width="6" customWidth="1"/>
    <col min="24" max="24" width="5.83203125" customWidth="1"/>
    <col min="25" max="25" width="5.6640625" customWidth="1"/>
    <col min="26" max="26" width="5.83203125" customWidth="1"/>
    <col min="27" max="27" width="6.1640625" customWidth="1"/>
    <col min="28" max="28" width="7.1640625" customWidth="1"/>
    <col min="29" max="29" width="5.6640625" customWidth="1"/>
  </cols>
  <sheetData>
    <row r="1" spans="1:29" ht="3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5">
      <c r="A2" s="3">
        <v>1</v>
      </c>
      <c r="B2" s="3" t="s">
        <v>29</v>
      </c>
      <c r="C2" s="3">
        <v>28</v>
      </c>
      <c r="D2" s="3" t="s">
        <v>30</v>
      </c>
      <c r="E2" s="3">
        <v>77</v>
      </c>
      <c r="F2" s="3">
        <v>77</v>
      </c>
      <c r="G2" s="4">
        <v>33.799999999999997</v>
      </c>
      <c r="H2" s="4">
        <v>8</v>
      </c>
      <c r="I2" s="4">
        <v>16.7</v>
      </c>
      <c r="J2" s="5">
        <v>0.47699999999999998</v>
      </c>
      <c r="K2" s="4">
        <v>1.8</v>
      </c>
      <c r="L2" s="4">
        <v>4.5999999999999996</v>
      </c>
      <c r="M2" s="5">
        <v>0.38200000000000001</v>
      </c>
      <c r="N2" s="4">
        <v>6.2</v>
      </c>
      <c r="O2" s="4">
        <v>12.1</v>
      </c>
      <c r="P2" s="5">
        <v>0.51200000000000001</v>
      </c>
      <c r="Q2" s="5">
        <v>0.52900000000000003</v>
      </c>
      <c r="R2" s="4">
        <v>3.8</v>
      </c>
      <c r="S2" s="4">
        <v>4.5999999999999996</v>
      </c>
      <c r="T2" s="5">
        <v>0.82</v>
      </c>
      <c r="U2" s="4">
        <v>0.8</v>
      </c>
      <c r="V2" s="4">
        <v>4.8</v>
      </c>
      <c r="W2" s="4">
        <v>5.6</v>
      </c>
      <c r="X2" s="4">
        <v>3.7</v>
      </c>
      <c r="Y2" s="4">
        <v>0.8</v>
      </c>
      <c r="Z2" s="4">
        <v>0.7</v>
      </c>
      <c r="AA2" s="4">
        <v>2.4</v>
      </c>
      <c r="AB2" s="4">
        <v>1.9</v>
      </c>
      <c r="AC2" s="4">
        <v>21.5</v>
      </c>
    </row>
    <row r="3" spans="1:29" ht="15">
      <c r="A3" s="6">
        <v>2</v>
      </c>
      <c r="B3" s="6" t="s">
        <v>31</v>
      </c>
      <c r="C3" s="6">
        <v>24</v>
      </c>
      <c r="D3" s="6" t="s">
        <v>27</v>
      </c>
      <c r="E3" s="6">
        <v>80</v>
      </c>
      <c r="F3" s="6">
        <v>80</v>
      </c>
      <c r="G3" s="7">
        <v>33.5</v>
      </c>
      <c r="H3" s="7">
        <v>7.1</v>
      </c>
      <c r="I3" s="7">
        <v>14</v>
      </c>
      <c r="J3" s="8">
        <v>0.50700000000000001</v>
      </c>
      <c r="K3" s="7">
        <v>0.9</v>
      </c>
      <c r="L3" s="7">
        <v>2.8</v>
      </c>
      <c r="M3" s="8">
        <v>0.30399999999999999</v>
      </c>
      <c r="N3" s="7">
        <v>6.3</v>
      </c>
      <c r="O3" s="7">
        <v>11.2</v>
      </c>
      <c r="P3" s="8">
        <v>0.55700000000000005</v>
      </c>
      <c r="Q3" s="8">
        <v>0.53700000000000003</v>
      </c>
      <c r="R3" s="7">
        <v>3</v>
      </c>
      <c r="S3" s="7">
        <v>3.7</v>
      </c>
      <c r="T3" s="8">
        <v>0.81499999999999995</v>
      </c>
      <c r="U3" s="7">
        <v>1.9</v>
      </c>
      <c r="V3" s="7">
        <v>5.6</v>
      </c>
      <c r="W3" s="7">
        <v>7.5</v>
      </c>
      <c r="X3" s="7">
        <v>5.9</v>
      </c>
      <c r="Y3" s="7">
        <v>1.4</v>
      </c>
      <c r="Z3" s="7">
        <v>1.5</v>
      </c>
      <c r="AA3" s="7">
        <v>2.6</v>
      </c>
      <c r="AB3" s="7">
        <v>2.6</v>
      </c>
      <c r="AC3" s="7">
        <v>18.100000000000001</v>
      </c>
    </row>
    <row r="4" spans="1:29" ht="15">
      <c r="A4" s="3">
        <v>3</v>
      </c>
      <c r="B4" s="3" t="s">
        <v>32</v>
      </c>
      <c r="C4" s="3">
        <v>26</v>
      </c>
      <c r="D4" s="3" t="s">
        <v>33</v>
      </c>
      <c r="E4" s="3">
        <v>70</v>
      </c>
      <c r="F4" s="3">
        <v>70</v>
      </c>
      <c r="G4" s="4">
        <v>31.9</v>
      </c>
      <c r="H4" s="4">
        <v>5.7</v>
      </c>
      <c r="I4" s="4">
        <v>12.9</v>
      </c>
      <c r="J4" s="5">
        <v>0.443</v>
      </c>
      <c r="K4" s="4">
        <v>2.5</v>
      </c>
      <c r="L4" s="4">
        <v>6.8</v>
      </c>
      <c r="M4" s="5">
        <v>0.374</v>
      </c>
      <c r="N4" s="4">
        <v>3.2</v>
      </c>
      <c r="O4" s="4">
        <v>6.1</v>
      </c>
      <c r="P4" s="5">
        <v>0.52</v>
      </c>
      <c r="Q4" s="5">
        <v>0.54100000000000004</v>
      </c>
      <c r="R4" s="4">
        <v>2.4</v>
      </c>
      <c r="S4" s="4">
        <v>3</v>
      </c>
      <c r="T4" s="5">
        <v>0.82099999999999995</v>
      </c>
      <c r="U4" s="4">
        <v>0.5</v>
      </c>
      <c r="V4" s="4">
        <v>3.5</v>
      </c>
      <c r="W4" s="4">
        <v>4</v>
      </c>
      <c r="X4" s="4">
        <v>5.9</v>
      </c>
      <c r="Y4" s="4">
        <v>1.3</v>
      </c>
      <c r="Z4" s="4">
        <v>0.1</v>
      </c>
      <c r="AA4" s="4">
        <v>1.5</v>
      </c>
      <c r="AB4" s="4">
        <v>2</v>
      </c>
      <c r="AC4" s="4">
        <v>16.399999999999999</v>
      </c>
    </row>
    <row r="5" spans="1:29" ht="15">
      <c r="A5" s="6">
        <v>4</v>
      </c>
      <c r="B5" s="6" t="s">
        <v>34</v>
      </c>
      <c r="C5" s="6">
        <v>25</v>
      </c>
      <c r="D5" s="6" t="s">
        <v>30</v>
      </c>
      <c r="E5" s="6">
        <v>57</v>
      </c>
      <c r="F5" s="6">
        <v>57</v>
      </c>
      <c r="G5" s="7">
        <v>30.3</v>
      </c>
      <c r="H5" s="7">
        <v>7</v>
      </c>
      <c r="I5" s="7">
        <v>14.3</v>
      </c>
      <c r="J5" s="8">
        <v>0.49099999999999999</v>
      </c>
      <c r="K5" s="7">
        <v>1.7</v>
      </c>
      <c r="L5" s="7">
        <v>5</v>
      </c>
      <c r="M5" s="8">
        <v>0.33900000000000002</v>
      </c>
      <c r="N5" s="7">
        <v>5.4</v>
      </c>
      <c r="O5" s="7">
        <v>9.4</v>
      </c>
      <c r="P5" s="8">
        <v>0.57199999999999995</v>
      </c>
      <c r="Q5" s="8">
        <v>0.55000000000000004</v>
      </c>
      <c r="R5" s="7">
        <v>3.5</v>
      </c>
      <c r="S5" s="7">
        <v>4.9000000000000004</v>
      </c>
      <c r="T5" s="8">
        <v>0.71699999999999997</v>
      </c>
      <c r="U5" s="7">
        <v>1</v>
      </c>
      <c r="V5" s="7">
        <v>4.3</v>
      </c>
      <c r="W5" s="7">
        <v>5.3</v>
      </c>
      <c r="X5" s="7">
        <v>3.3</v>
      </c>
      <c r="Y5" s="7">
        <v>0.7</v>
      </c>
      <c r="Z5" s="7">
        <v>0.3</v>
      </c>
      <c r="AA5" s="7">
        <v>1.7</v>
      </c>
      <c r="AB5" s="7">
        <v>2.6</v>
      </c>
      <c r="AC5" s="7">
        <v>19.3</v>
      </c>
    </row>
    <row r="6" spans="1:29" ht="15">
      <c r="A6" s="3">
        <v>5</v>
      </c>
      <c r="B6" s="3" t="s">
        <v>35</v>
      </c>
      <c r="C6" s="3">
        <v>30</v>
      </c>
      <c r="D6" s="3" t="s">
        <v>36</v>
      </c>
      <c r="E6" s="3">
        <v>46</v>
      </c>
      <c r="F6" s="3">
        <v>44</v>
      </c>
      <c r="G6" s="4">
        <v>25</v>
      </c>
      <c r="H6" s="4">
        <v>4.7</v>
      </c>
      <c r="I6" s="4">
        <v>6.7</v>
      </c>
      <c r="J6" s="5">
        <v>0.7</v>
      </c>
      <c r="K6" s="4">
        <v>0</v>
      </c>
      <c r="L6" s="4">
        <v>0</v>
      </c>
      <c r="M6" s="5"/>
      <c r="N6" s="4">
        <v>4.7</v>
      </c>
      <c r="O6" s="4">
        <v>6.7</v>
      </c>
      <c r="P6" s="5">
        <v>0.7</v>
      </c>
      <c r="Q6" s="5">
        <v>0.7</v>
      </c>
      <c r="R6" s="4">
        <v>1.3</v>
      </c>
      <c r="S6" s="4">
        <v>2.1</v>
      </c>
      <c r="T6" s="5">
        <v>0.60199999999999998</v>
      </c>
      <c r="U6" s="4">
        <v>2.5</v>
      </c>
      <c r="V6" s="4">
        <v>4.5</v>
      </c>
      <c r="W6" s="4">
        <v>7</v>
      </c>
      <c r="X6" s="4">
        <v>2</v>
      </c>
      <c r="Y6" s="4">
        <v>0.9</v>
      </c>
      <c r="Z6" s="4">
        <v>0.7</v>
      </c>
      <c r="AA6" s="4">
        <v>1.2</v>
      </c>
      <c r="AB6" s="4">
        <v>3.2</v>
      </c>
      <c r="AC6" s="4">
        <v>10.7</v>
      </c>
    </row>
    <row r="7" spans="1:29" ht="15">
      <c r="A7" s="6">
        <v>6</v>
      </c>
      <c r="B7" s="6" t="s">
        <v>37</v>
      </c>
      <c r="C7" s="6">
        <v>23</v>
      </c>
      <c r="D7" s="6" t="s">
        <v>33</v>
      </c>
      <c r="E7" s="6">
        <v>82</v>
      </c>
      <c r="F7" s="6">
        <v>12</v>
      </c>
      <c r="G7" s="7">
        <v>22.6</v>
      </c>
      <c r="H7" s="7">
        <v>2.2999999999999998</v>
      </c>
      <c r="I7" s="7">
        <v>6.1</v>
      </c>
      <c r="J7" s="8">
        <v>0.36699999999999999</v>
      </c>
      <c r="K7" s="7">
        <v>1</v>
      </c>
      <c r="L7" s="7">
        <v>3.2</v>
      </c>
      <c r="M7" s="8">
        <v>0.32100000000000001</v>
      </c>
      <c r="N7" s="7">
        <v>1.2</v>
      </c>
      <c r="O7" s="7">
        <v>3</v>
      </c>
      <c r="P7" s="8">
        <v>0.41699999999999998</v>
      </c>
      <c r="Q7" s="8">
        <v>0.45</v>
      </c>
      <c r="R7" s="7">
        <v>1.1000000000000001</v>
      </c>
      <c r="S7" s="7">
        <v>1.4</v>
      </c>
      <c r="T7" s="8">
        <v>0.78400000000000003</v>
      </c>
      <c r="U7" s="7">
        <v>0.3</v>
      </c>
      <c r="V7" s="7">
        <v>1.4</v>
      </c>
      <c r="W7" s="7">
        <v>1.7</v>
      </c>
      <c r="X7" s="7">
        <v>5.4</v>
      </c>
      <c r="Y7" s="7">
        <v>0.9</v>
      </c>
      <c r="Z7" s="7">
        <v>0.2</v>
      </c>
      <c r="AA7" s="7">
        <v>1.4</v>
      </c>
      <c r="AB7" s="7">
        <v>2</v>
      </c>
      <c r="AC7" s="7">
        <v>6.6</v>
      </c>
    </row>
    <row r="8" spans="1:29" ht="15">
      <c r="A8" s="3">
        <v>7</v>
      </c>
      <c r="B8" s="3" t="s">
        <v>38</v>
      </c>
      <c r="C8" s="3">
        <v>20</v>
      </c>
      <c r="D8" s="3" t="s">
        <v>27</v>
      </c>
      <c r="E8" s="3">
        <v>57</v>
      </c>
      <c r="F8" s="3">
        <v>22</v>
      </c>
      <c r="G8" s="4">
        <v>21.9</v>
      </c>
      <c r="H8" s="4">
        <v>3.5</v>
      </c>
      <c r="I8" s="4">
        <v>6</v>
      </c>
      <c r="J8" s="5">
        <v>0.57899999999999996</v>
      </c>
      <c r="K8" s="4">
        <v>0.3</v>
      </c>
      <c r="L8" s="4">
        <v>0.9</v>
      </c>
      <c r="M8" s="5">
        <v>0.34</v>
      </c>
      <c r="N8" s="4">
        <v>3.2</v>
      </c>
      <c r="O8" s="4">
        <v>5.0999999999999996</v>
      </c>
      <c r="P8" s="5">
        <v>0.62</v>
      </c>
      <c r="Q8" s="5">
        <v>0.60399999999999998</v>
      </c>
      <c r="R8" s="4">
        <v>1.2</v>
      </c>
      <c r="S8" s="4">
        <v>1.9</v>
      </c>
      <c r="T8" s="5">
        <v>0.65700000000000003</v>
      </c>
      <c r="U8" s="4">
        <v>2.2999999999999998</v>
      </c>
      <c r="V8" s="4">
        <v>2.7</v>
      </c>
      <c r="W8" s="4">
        <v>5</v>
      </c>
      <c r="X8" s="4">
        <v>1.9</v>
      </c>
      <c r="Y8" s="4">
        <v>0.9</v>
      </c>
      <c r="Z8" s="4">
        <v>0.9</v>
      </c>
      <c r="AA8" s="4">
        <v>1</v>
      </c>
      <c r="AB8" s="4">
        <v>2.6</v>
      </c>
      <c r="AC8" s="4">
        <v>8.5</v>
      </c>
    </row>
    <row r="9" spans="1:29" ht="15">
      <c r="A9" s="6">
        <v>8</v>
      </c>
      <c r="B9" s="6" t="s">
        <v>39</v>
      </c>
      <c r="C9" s="6">
        <v>26</v>
      </c>
      <c r="D9" s="6" t="s">
        <v>36</v>
      </c>
      <c r="E9" s="6">
        <v>80</v>
      </c>
      <c r="F9" s="6">
        <v>13</v>
      </c>
      <c r="G9" s="7">
        <v>21.9</v>
      </c>
      <c r="H9" s="7">
        <v>4.0999999999999996</v>
      </c>
      <c r="I9" s="7">
        <v>7.9</v>
      </c>
      <c r="J9" s="8">
        <v>0.52300000000000002</v>
      </c>
      <c r="K9" s="7">
        <v>1.4</v>
      </c>
      <c r="L9" s="7">
        <v>3.7</v>
      </c>
      <c r="M9" s="8">
        <v>0.38900000000000001</v>
      </c>
      <c r="N9" s="7">
        <v>2.7</v>
      </c>
      <c r="O9" s="7">
        <v>4.2</v>
      </c>
      <c r="P9" s="8">
        <v>0.64200000000000002</v>
      </c>
      <c r="Q9" s="8">
        <v>0.61399999999999999</v>
      </c>
      <c r="R9" s="7">
        <v>1.5</v>
      </c>
      <c r="S9" s="7">
        <v>2</v>
      </c>
      <c r="T9" s="8">
        <v>0.747</v>
      </c>
      <c r="U9" s="7">
        <v>1.4</v>
      </c>
      <c r="V9" s="7">
        <v>3.6</v>
      </c>
      <c r="W9" s="7">
        <v>4.9000000000000004</v>
      </c>
      <c r="X9" s="7">
        <v>1.9</v>
      </c>
      <c r="Y9" s="7">
        <v>0.8</v>
      </c>
      <c r="Z9" s="7">
        <v>0.5</v>
      </c>
      <c r="AA9" s="7">
        <v>0.8</v>
      </c>
      <c r="AB9" s="7">
        <v>1.8</v>
      </c>
      <c r="AC9" s="7">
        <v>11.2</v>
      </c>
    </row>
    <row r="10" spans="1:29" ht="15">
      <c r="A10" s="3">
        <v>9</v>
      </c>
      <c r="B10" s="3" t="s">
        <v>40</v>
      </c>
      <c r="C10" s="3">
        <v>21</v>
      </c>
      <c r="D10" s="3" t="s">
        <v>41</v>
      </c>
      <c r="E10" s="3">
        <v>72</v>
      </c>
      <c r="F10" s="3">
        <v>19</v>
      </c>
      <c r="G10" s="4">
        <v>20.5</v>
      </c>
      <c r="H10" s="4">
        <v>2.5</v>
      </c>
      <c r="I10" s="4">
        <v>5.6</v>
      </c>
      <c r="J10" s="5">
        <v>0.44600000000000001</v>
      </c>
      <c r="K10" s="4">
        <v>1.5</v>
      </c>
      <c r="L10" s="4">
        <v>3.7</v>
      </c>
      <c r="M10" s="5">
        <v>0.40899999999999997</v>
      </c>
      <c r="N10" s="4">
        <v>1</v>
      </c>
      <c r="O10" s="4">
        <v>1.9</v>
      </c>
      <c r="P10" s="5">
        <v>0.51900000000000002</v>
      </c>
      <c r="Q10" s="5">
        <v>0.58199999999999996</v>
      </c>
      <c r="R10" s="4">
        <v>1</v>
      </c>
      <c r="S10" s="4">
        <v>1.3</v>
      </c>
      <c r="T10" s="5">
        <v>0.78900000000000003</v>
      </c>
      <c r="U10" s="4">
        <v>0.8</v>
      </c>
      <c r="V10" s="4">
        <v>1.8</v>
      </c>
      <c r="W10" s="4">
        <v>2.6</v>
      </c>
      <c r="X10" s="4">
        <v>1.2</v>
      </c>
      <c r="Y10" s="4">
        <v>1</v>
      </c>
      <c r="Z10" s="4">
        <v>0.2</v>
      </c>
      <c r="AA10" s="4">
        <v>0.5</v>
      </c>
      <c r="AB10" s="4">
        <v>2.2999999999999998</v>
      </c>
      <c r="AC10" s="4">
        <v>7.5</v>
      </c>
    </row>
    <row r="11" spans="1:29" ht="15">
      <c r="A11" s="6">
        <v>10</v>
      </c>
      <c r="B11" s="6" t="s">
        <v>42</v>
      </c>
      <c r="C11" s="6">
        <v>25</v>
      </c>
      <c r="D11" s="6" t="s">
        <v>41</v>
      </c>
      <c r="E11" s="6">
        <v>42</v>
      </c>
      <c r="F11" s="6">
        <v>13</v>
      </c>
      <c r="G11" s="7">
        <v>15.5</v>
      </c>
      <c r="H11" s="7">
        <v>1.7</v>
      </c>
      <c r="I11" s="7">
        <v>4</v>
      </c>
      <c r="J11" s="8">
        <v>0.42399999999999999</v>
      </c>
      <c r="K11" s="7">
        <v>0.3</v>
      </c>
      <c r="L11" s="7">
        <v>1.5</v>
      </c>
      <c r="M11" s="8">
        <v>0.185</v>
      </c>
      <c r="N11" s="7">
        <v>1.4</v>
      </c>
      <c r="O11" s="7">
        <v>2.5</v>
      </c>
      <c r="P11" s="8">
        <v>0.57099999999999995</v>
      </c>
      <c r="Q11" s="8">
        <v>0.45900000000000002</v>
      </c>
      <c r="R11" s="7">
        <v>0.6</v>
      </c>
      <c r="S11" s="7">
        <v>0.7</v>
      </c>
      <c r="T11" s="8">
        <v>0.86199999999999999</v>
      </c>
      <c r="U11" s="7">
        <v>0.8</v>
      </c>
      <c r="V11" s="7">
        <v>1.5</v>
      </c>
      <c r="W11" s="7">
        <v>2.2999999999999998</v>
      </c>
      <c r="X11" s="7">
        <v>0.7</v>
      </c>
      <c r="Y11" s="7">
        <v>0.4</v>
      </c>
      <c r="Z11" s="7">
        <v>0.3</v>
      </c>
      <c r="AA11" s="7">
        <v>0.5</v>
      </c>
      <c r="AB11" s="7">
        <v>1.8</v>
      </c>
      <c r="AC11" s="7">
        <v>4.3</v>
      </c>
    </row>
    <row r="12" spans="1:29" ht="15">
      <c r="A12" s="3">
        <v>11</v>
      </c>
      <c r="B12" s="3" t="s">
        <v>43</v>
      </c>
      <c r="C12" s="3">
        <v>22</v>
      </c>
      <c r="D12" s="3" t="s">
        <v>41</v>
      </c>
      <c r="E12" s="3">
        <v>76</v>
      </c>
      <c r="F12" s="3">
        <v>1</v>
      </c>
      <c r="G12" s="4">
        <v>14</v>
      </c>
      <c r="H12" s="4">
        <v>2.1</v>
      </c>
      <c r="I12" s="4">
        <v>5.0999999999999996</v>
      </c>
      <c r="J12" s="5">
        <v>0.41899999999999998</v>
      </c>
      <c r="K12" s="4">
        <v>0.7</v>
      </c>
      <c r="L12" s="4">
        <v>2.4</v>
      </c>
      <c r="M12" s="5">
        <v>0.30099999999999999</v>
      </c>
      <c r="N12" s="4">
        <v>1.4</v>
      </c>
      <c r="O12" s="4">
        <v>2.6</v>
      </c>
      <c r="P12" s="5">
        <v>0.53</v>
      </c>
      <c r="Q12" s="5">
        <v>0.49199999999999999</v>
      </c>
      <c r="R12" s="4">
        <v>1</v>
      </c>
      <c r="S12" s="4">
        <v>1.2</v>
      </c>
      <c r="T12" s="5">
        <v>0.875</v>
      </c>
      <c r="U12" s="4">
        <v>0.6</v>
      </c>
      <c r="V12" s="4">
        <v>1.4</v>
      </c>
      <c r="W12" s="4">
        <v>1.9</v>
      </c>
      <c r="X12" s="4">
        <v>0.7</v>
      </c>
      <c r="Y12" s="4">
        <v>0.6</v>
      </c>
      <c r="Z12" s="4">
        <v>0.1</v>
      </c>
      <c r="AA12" s="4">
        <v>0.6</v>
      </c>
      <c r="AB12" s="4">
        <v>1.3</v>
      </c>
      <c r="AC12" s="4">
        <v>6</v>
      </c>
    </row>
    <row r="13" spans="1:29" ht="15">
      <c r="A13" s="6">
        <v>12</v>
      </c>
      <c r="B13" s="6" t="s">
        <v>44</v>
      </c>
      <c r="C13" s="6">
        <v>25</v>
      </c>
      <c r="D13" s="6" t="s">
        <v>41</v>
      </c>
      <c r="E13" s="6">
        <v>24</v>
      </c>
      <c r="F13" s="6">
        <v>0</v>
      </c>
      <c r="G13" s="7">
        <v>9.4</v>
      </c>
      <c r="H13" s="7">
        <v>1.4</v>
      </c>
      <c r="I13" s="7">
        <v>3.3</v>
      </c>
      <c r="J13" s="8">
        <v>0.436</v>
      </c>
      <c r="K13" s="7">
        <v>0.8</v>
      </c>
      <c r="L13" s="7">
        <v>1.9</v>
      </c>
      <c r="M13" s="8">
        <v>0.42199999999999999</v>
      </c>
      <c r="N13" s="7">
        <v>0.6</v>
      </c>
      <c r="O13" s="7">
        <v>1.4</v>
      </c>
      <c r="P13" s="8">
        <v>0.45500000000000002</v>
      </c>
      <c r="Q13" s="8">
        <v>0.55800000000000005</v>
      </c>
      <c r="R13" s="7">
        <v>0.6</v>
      </c>
      <c r="S13" s="7">
        <v>0.8</v>
      </c>
      <c r="T13" s="8">
        <v>0.77800000000000002</v>
      </c>
      <c r="U13" s="7">
        <v>0.4</v>
      </c>
      <c r="V13" s="7">
        <v>1.4</v>
      </c>
      <c r="W13" s="7">
        <v>1.8</v>
      </c>
      <c r="X13" s="7">
        <v>0.3</v>
      </c>
      <c r="Y13" s="7">
        <v>0.5</v>
      </c>
      <c r="Z13" s="7">
        <v>0.2</v>
      </c>
      <c r="AA13" s="7">
        <v>0.3</v>
      </c>
      <c r="AB13" s="7">
        <v>1.1000000000000001</v>
      </c>
      <c r="AC13" s="7">
        <v>4.2</v>
      </c>
    </row>
    <row r="14" spans="1:29" ht="15">
      <c r="A14" s="3">
        <v>13</v>
      </c>
      <c r="B14" s="3" t="s">
        <v>45</v>
      </c>
      <c r="C14" s="3">
        <v>24</v>
      </c>
      <c r="D14" s="3" t="s">
        <v>30</v>
      </c>
      <c r="E14" s="3">
        <v>61</v>
      </c>
      <c r="F14" s="3">
        <v>2</v>
      </c>
      <c r="G14" s="4">
        <v>8.5</v>
      </c>
      <c r="H14" s="4">
        <v>1.2</v>
      </c>
      <c r="I14" s="4">
        <v>2.4</v>
      </c>
      <c r="J14" s="5">
        <v>0.51</v>
      </c>
      <c r="K14" s="4">
        <v>0.6</v>
      </c>
      <c r="L14" s="4">
        <v>1.4</v>
      </c>
      <c r="M14" s="5">
        <v>0.41199999999999998</v>
      </c>
      <c r="N14" s="4">
        <v>0.6</v>
      </c>
      <c r="O14" s="4">
        <v>1</v>
      </c>
      <c r="P14" s="5">
        <v>0.65</v>
      </c>
      <c r="Q14" s="5">
        <v>0.63100000000000001</v>
      </c>
      <c r="R14" s="4">
        <v>0.1</v>
      </c>
      <c r="S14" s="4">
        <v>0.2</v>
      </c>
      <c r="T14" s="5">
        <v>0.64300000000000002</v>
      </c>
      <c r="U14" s="4">
        <v>0.3</v>
      </c>
      <c r="V14" s="4">
        <v>1.1000000000000001</v>
      </c>
      <c r="W14" s="4">
        <v>1.5</v>
      </c>
      <c r="X14" s="4">
        <v>0.4</v>
      </c>
      <c r="Y14" s="4">
        <v>0.1</v>
      </c>
      <c r="Z14" s="4">
        <v>0</v>
      </c>
      <c r="AA14" s="4">
        <v>0.3</v>
      </c>
      <c r="AB14" s="4">
        <v>0.7</v>
      </c>
      <c r="AC14" s="4">
        <v>3.1</v>
      </c>
    </row>
    <row r="15" spans="1:29" ht="15">
      <c r="A15" s="6">
        <v>14</v>
      </c>
      <c r="B15" s="6" t="s">
        <v>46</v>
      </c>
      <c r="C15" s="6">
        <v>27</v>
      </c>
      <c r="D15" s="6" t="s">
        <v>33</v>
      </c>
      <c r="E15" s="6">
        <v>5</v>
      </c>
      <c r="F15" s="6">
        <v>0</v>
      </c>
      <c r="G15" s="7">
        <v>7.2</v>
      </c>
      <c r="H15" s="7">
        <v>0.4</v>
      </c>
      <c r="I15" s="7">
        <v>2.2000000000000002</v>
      </c>
      <c r="J15" s="8">
        <v>0.182</v>
      </c>
      <c r="K15" s="7">
        <v>0</v>
      </c>
      <c r="L15" s="7">
        <v>0</v>
      </c>
      <c r="M15" s="8"/>
      <c r="N15" s="7">
        <v>0.4</v>
      </c>
      <c r="O15" s="7">
        <v>2.2000000000000002</v>
      </c>
      <c r="P15" s="8">
        <v>0.182</v>
      </c>
      <c r="Q15" s="8">
        <v>0.182</v>
      </c>
      <c r="R15" s="7">
        <v>0</v>
      </c>
      <c r="S15" s="7">
        <v>0</v>
      </c>
      <c r="T15" s="8"/>
      <c r="U15" s="7">
        <v>0</v>
      </c>
      <c r="V15" s="7">
        <v>0.2</v>
      </c>
      <c r="W15" s="7">
        <v>0.2</v>
      </c>
      <c r="X15" s="7">
        <v>1.6</v>
      </c>
      <c r="Y15" s="7">
        <v>0.4</v>
      </c>
      <c r="Z15" s="7">
        <v>0</v>
      </c>
      <c r="AA15" s="7">
        <v>0.8</v>
      </c>
      <c r="AB15" s="7">
        <v>0.4</v>
      </c>
      <c r="AC15" s="7">
        <v>0.8</v>
      </c>
    </row>
    <row r="16" spans="1:29" ht="15">
      <c r="A16" s="3">
        <v>15</v>
      </c>
      <c r="B16" s="3" t="s">
        <v>47</v>
      </c>
      <c r="C16" s="3">
        <v>22</v>
      </c>
      <c r="D16" s="3" t="s">
        <v>33</v>
      </c>
      <c r="E16" s="3">
        <v>2</v>
      </c>
      <c r="F16" s="3">
        <v>0</v>
      </c>
      <c r="G16" s="4">
        <v>6.5</v>
      </c>
      <c r="H16" s="4">
        <v>0</v>
      </c>
      <c r="I16" s="4">
        <v>3</v>
      </c>
      <c r="J16" s="5">
        <v>0</v>
      </c>
      <c r="K16" s="4">
        <v>0</v>
      </c>
      <c r="L16" s="4">
        <v>2.5</v>
      </c>
      <c r="M16" s="5">
        <v>0</v>
      </c>
      <c r="N16" s="4">
        <v>0</v>
      </c>
      <c r="O16" s="4">
        <v>0.5</v>
      </c>
      <c r="P16" s="5">
        <v>0</v>
      </c>
      <c r="Q16" s="5">
        <v>0</v>
      </c>
      <c r="R16" s="4">
        <v>0</v>
      </c>
      <c r="S16" s="4">
        <v>0</v>
      </c>
      <c r="T16" s="5"/>
      <c r="U16" s="4">
        <v>0</v>
      </c>
      <c r="V16" s="4">
        <v>0.5</v>
      </c>
      <c r="W16" s="4">
        <v>0.5</v>
      </c>
      <c r="X16" s="4">
        <v>1</v>
      </c>
      <c r="Y16" s="4">
        <v>0.5</v>
      </c>
      <c r="Z16" s="4">
        <v>0</v>
      </c>
      <c r="AA16" s="4">
        <v>0.5</v>
      </c>
      <c r="AB16" s="4">
        <v>1</v>
      </c>
      <c r="AC16" s="4">
        <v>0</v>
      </c>
    </row>
    <row r="17" spans="1:29" ht="15">
      <c r="A17" s="6">
        <v>16</v>
      </c>
      <c r="B17" s="6" t="s">
        <v>48</v>
      </c>
      <c r="C17" s="6">
        <v>24</v>
      </c>
      <c r="D17" s="6" t="s">
        <v>41</v>
      </c>
      <c r="E17" s="6">
        <v>23</v>
      </c>
      <c r="F17" s="6">
        <v>0</v>
      </c>
      <c r="G17" s="7">
        <v>6.3</v>
      </c>
      <c r="H17" s="7">
        <v>0.7</v>
      </c>
      <c r="I17" s="7">
        <v>2.2000000000000002</v>
      </c>
      <c r="J17" s="8">
        <v>0.32</v>
      </c>
      <c r="K17" s="7">
        <v>0.2</v>
      </c>
      <c r="L17" s="7">
        <v>0.9</v>
      </c>
      <c r="M17" s="8">
        <v>0.19</v>
      </c>
      <c r="N17" s="7">
        <v>0.5</v>
      </c>
      <c r="O17" s="7">
        <v>1.3</v>
      </c>
      <c r="P17" s="8">
        <v>0.41399999999999998</v>
      </c>
      <c r="Q17" s="8">
        <v>0.36</v>
      </c>
      <c r="R17" s="7">
        <v>0.7</v>
      </c>
      <c r="S17" s="7">
        <v>0.8</v>
      </c>
      <c r="T17" s="8">
        <v>0.78900000000000003</v>
      </c>
      <c r="U17" s="7">
        <v>0.4</v>
      </c>
      <c r="V17" s="7">
        <v>0.5</v>
      </c>
      <c r="W17" s="7">
        <v>0.9</v>
      </c>
      <c r="X17" s="7">
        <v>0.5</v>
      </c>
      <c r="Y17" s="7">
        <v>0.3</v>
      </c>
      <c r="Z17" s="7">
        <v>0.2</v>
      </c>
      <c r="AA17" s="7">
        <v>0.3</v>
      </c>
      <c r="AB17" s="7">
        <v>0.5</v>
      </c>
      <c r="AC17" s="7">
        <v>2.2000000000000002</v>
      </c>
    </row>
    <row r="18" spans="1:29" ht="15">
      <c r="A18" s="3">
        <v>17</v>
      </c>
      <c r="B18" s="3" t="s">
        <v>49</v>
      </c>
      <c r="C18" s="3">
        <v>24</v>
      </c>
      <c r="D18" s="3" t="s">
        <v>27</v>
      </c>
      <c r="E18" s="3">
        <v>40</v>
      </c>
      <c r="F18" s="3">
        <v>0</v>
      </c>
      <c r="G18" s="4">
        <v>6.2</v>
      </c>
      <c r="H18" s="4">
        <v>0.7</v>
      </c>
      <c r="I18" s="4">
        <v>1.1000000000000001</v>
      </c>
      <c r="J18" s="5">
        <v>0.59099999999999997</v>
      </c>
      <c r="K18" s="4">
        <v>0</v>
      </c>
      <c r="L18" s="4">
        <v>0</v>
      </c>
      <c r="M18" s="5">
        <v>0</v>
      </c>
      <c r="N18" s="4">
        <v>0.7</v>
      </c>
      <c r="O18" s="4">
        <v>1.1000000000000001</v>
      </c>
      <c r="P18" s="5">
        <v>0.60499999999999998</v>
      </c>
      <c r="Q18" s="5">
        <v>0.59099999999999997</v>
      </c>
      <c r="R18" s="4">
        <v>0.2</v>
      </c>
      <c r="S18" s="4">
        <v>0.4</v>
      </c>
      <c r="T18" s="5">
        <v>0.64300000000000002</v>
      </c>
      <c r="U18" s="4">
        <v>0.5</v>
      </c>
      <c r="V18" s="4">
        <v>1.2</v>
      </c>
      <c r="W18" s="4">
        <v>1.7</v>
      </c>
      <c r="X18" s="4">
        <v>0.6</v>
      </c>
      <c r="Y18" s="4">
        <v>0.3</v>
      </c>
      <c r="Z18" s="4">
        <v>0.2</v>
      </c>
      <c r="AA18" s="4">
        <v>0.4</v>
      </c>
      <c r="AB18" s="4">
        <v>0.7</v>
      </c>
      <c r="AC18" s="4">
        <v>1.5</v>
      </c>
    </row>
    <row r="19" spans="1:29" ht="15">
      <c r="A19" s="6">
        <v>18</v>
      </c>
      <c r="B19" s="6" t="s">
        <v>50</v>
      </c>
      <c r="C19" s="6">
        <v>25</v>
      </c>
      <c r="D19" s="6" t="s">
        <v>36</v>
      </c>
      <c r="E19" s="6">
        <v>17</v>
      </c>
      <c r="F19" s="6">
        <v>0</v>
      </c>
      <c r="G19" s="7">
        <v>5</v>
      </c>
      <c r="H19" s="7">
        <v>0.6</v>
      </c>
      <c r="I19" s="7">
        <v>1.3</v>
      </c>
      <c r="J19" s="8">
        <v>0.5</v>
      </c>
      <c r="K19" s="7">
        <v>0</v>
      </c>
      <c r="L19" s="7">
        <v>0</v>
      </c>
      <c r="M19" s="8"/>
      <c r="N19" s="7">
        <v>0.6</v>
      </c>
      <c r="O19" s="7">
        <v>1.3</v>
      </c>
      <c r="P19" s="8">
        <v>0.5</v>
      </c>
      <c r="Q19" s="8">
        <v>0.5</v>
      </c>
      <c r="R19" s="7">
        <v>0.5</v>
      </c>
      <c r="S19" s="7">
        <v>1.3</v>
      </c>
      <c r="T19" s="8">
        <v>0.40899999999999997</v>
      </c>
      <c r="U19" s="7">
        <v>1.1000000000000001</v>
      </c>
      <c r="V19" s="7">
        <v>0.8</v>
      </c>
      <c r="W19" s="7">
        <v>1.9</v>
      </c>
      <c r="X19" s="7">
        <v>0.4</v>
      </c>
      <c r="Y19" s="7">
        <v>0.2</v>
      </c>
      <c r="Z19" s="7">
        <v>0.3</v>
      </c>
      <c r="AA19" s="7">
        <v>0.2</v>
      </c>
      <c r="AB19" s="7">
        <v>0.3</v>
      </c>
      <c r="AC19" s="7">
        <v>1.8</v>
      </c>
    </row>
    <row r="20" spans="1:29" ht="15">
      <c r="A20" s="3">
        <v>19</v>
      </c>
      <c r="B20" s="3" t="s">
        <v>51</v>
      </c>
      <c r="C20" s="3">
        <v>39</v>
      </c>
      <c r="D20" s="3" t="s">
        <v>41</v>
      </c>
      <c r="E20" s="3">
        <v>22</v>
      </c>
      <c r="F20" s="3">
        <v>0</v>
      </c>
      <c r="G20" s="4">
        <v>3.3</v>
      </c>
      <c r="H20" s="4">
        <v>0.2</v>
      </c>
      <c r="I20" s="4">
        <v>0.7</v>
      </c>
      <c r="J20" s="5">
        <v>0.26700000000000002</v>
      </c>
      <c r="K20" s="4">
        <v>0.1</v>
      </c>
      <c r="L20" s="4">
        <v>0.5</v>
      </c>
      <c r="M20" s="5">
        <v>0.25</v>
      </c>
      <c r="N20" s="4">
        <v>0</v>
      </c>
      <c r="O20" s="4">
        <v>0.1</v>
      </c>
      <c r="P20" s="5">
        <v>0.33300000000000002</v>
      </c>
      <c r="Q20" s="5">
        <v>0.36699999999999999</v>
      </c>
      <c r="R20" s="4">
        <v>0.3</v>
      </c>
      <c r="S20" s="4">
        <v>0.4</v>
      </c>
      <c r="T20" s="5">
        <v>0.66700000000000004</v>
      </c>
      <c r="U20" s="4">
        <v>0</v>
      </c>
      <c r="V20" s="4">
        <v>0.4</v>
      </c>
      <c r="W20" s="4">
        <v>0.4</v>
      </c>
      <c r="X20" s="4">
        <v>0.4</v>
      </c>
      <c r="Y20" s="4">
        <v>0.2</v>
      </c>
      <c r="Z20" s="4">
        <v>0.1</v>
      </c>
      <c r="AA20" s="4">
        <v>0.3</v>
      </c>
      <c r="AB20" s="4">
        <v>0.3</v>
      </c>
      <c r="AC20" s="4">
        <v>0.8</v>
      </c>
    </row>
    <row r="21" spans="1:29" ht="15">
      <c r="A21" s="6">
        <v>20</v>
      </c>
      <c r="B21" s="6" t="s">
        <v>52</v>
      </c>
      <c r="C21" s="6">
        <v>27</v>
      </c>
      <c r="D21" s="6" t="s">
        <v>36</v>
      </c>
      <c r="E21" s="6">
        <v>2</v>
      </c>
      <c r="F21" s="6">
        <v>0</v>
      </c>
      <c r="G21" s="7">
        <v>3</v>
      </c>
      <c r="H21" s="7">
        <v>0</v>
      </c>
      <c r="I21" s="7">
        <v>1</v>
      </c>
      <c r="J21" s="8">
        <v>0</v>
      </c>
      <c r="K21" s="7">
        <v>0</v>
      </c>
      <c r="L21" s="7">
        <v>0</v>
      </c>
      <c r="M21" s="8"/>
      <c r="N21" s="7">
        <v>0</v>
      </c>
      <c r="O21" s="7">
        <v>1</v>
      </c>
      <c r="P21" s="8">
        <v>0</v>
      </c>
      <c r="Q21" s="8">
        <v>0</v>
      </c>
      <c r="R21" s="7">
        <v>0</v>
      </c>
      <c r="S21" s="7">
        <v>0</v>
      </c>
      <c r="T21" s="8"/>
      <c r="U21" s="7">
        <v>0.5</v>
      </c>
      <c r="V21" s="7">
        <v>0.5</v>
      </c>
      <c r="W21" s="7">
        <v>1</v>
      </c>
      <c r="X21" s="7">
        <v>0</v>
      </c>
      <c r="Y21" s="7">
        <v>0</v>
      </c>
      <c r="Z21" s="7">
        <v>0.5</v>
      </c>
      <c r="AA21" s="7">
        <v>0</v>
      </c>
      <c r="AB21" s="7">
        <v>1</v>
      </c>
      <c r="AC21" s="7">
        <v>0</v>
      </c>
    </row>
    <row r="22" spans="1:29" ht="15">
      <c r="A22" s="9" t="s">
        <v>53</v>
      </c>
      <c r="B22" s="9"/>
      <c r="C22" s="9"/>
      <c r="D22" s="9" t="s">
        <v>54</v>
      </c>
      <c r="E22" s="9">
        <v>82</v>
      </c>
      <c r="F22" s="9">
        <v>241.2</v>
      </c>
      <c r="G22" s="10">
        <v>42.6</v>
      </c>
      <c r="H22" s="10">
        <v>88.4</v>
      </c>
      <c r="I22" s="10">
        <v>0.48199999999999998</v>
      </c>
      <c r="J22" s="11"/>
      <c r="K22" s="10">
        <v>32.1</v>
      </c>
      <c r="L22" s="10">
        <v>0.35399999999999998</v>
      </c>
      <c r="M22" s="11"/>
      <c r="N22" s="10">
        <v>56.3</v>
      </c>
      <c r="O22" s="10">
        <v>0.55500000000000005</v>
      </c>
      <c r="P22" s="11">
        <v>0.54600000000000004</v>
      </c>
      <c r="Q22" s="11"/>
      <c r="R22" s="10">
        <v>23.4</v>
      </c>
      <c r="S22" s="10">
        <v>0.76900000000000002</v>
      </c>
      <c r="T22" s="11"/>
      <c r="U22" s="10">
        <v>31.2</v>
      </c>
      <c r="V22" s="10">
        <v>42.1</v>
      </c>
      <c r="W22" s="10">
        <v>29.5</v>
      </c>
      <c r="X22" s="10">
        <v>8.8000000000000007</v>
      </c>
      <c r="Y22" s="10">
        <v>4.8</v>
      </c>
      <c r="Z22" s="10">
        <v>13.7</v>
      </c>
      <c r="AA22" s="10">
        <v>20.9</v>
      </c>
      <c r="AB22" s="10">
        <v>114.6</v>
      </c>
      <c r="AC22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75924-0B60-1748-B455-6AECC82A6600}">
  <dimension ref="A1:AC37"/>
  <sheetViews>
    <sheetView zoomScaleNormal="100" workbookViewId="0">
      <selection activeCell="C7" sqref="C7:AC7"/>
    </sheetView>
  </sheetViews>
  <sheetFormatPr baseColWidth="10" defaultRowHeight="14"/>
  <cols>
    <col min="1" max="1" width="8" customWidth="1"/>
    <col min="2" max="2" width="23" customWidth="1"/>
    <col min="3" max="3" width="6" customWidth="1"/>
    <col min="4" max="4" width="8" customWidth="1"/>
    <col min="5" max="5" width="4.1640625" customWidth="1"/>
    <col min="6" max="6" width="5.1640625" customWidth="1"/>
    <col min="7" max="7" width="5.6640625" customWidth="1"/>
    <col min="8" max="8" width="5" customWidth="1"/>
    <col min="9" max="9" width="6.1640625" customWidth="1"/>
    <col min="10" max="10" width="9.33203125" customWidth="1"/>
    <col min="11" max="11" width="5" customWidth="1"/>
    <col min="12" max="12" width="6" customWidth="1"/>
    <col min="13" max="13" width="9.6640625" customWidth="1"/>
    <col min="14" max="14" width="5" customWidth="1"/>
    <col min="15" max="15" width="6" customWidth="1"/>
    <col min="16" max="16" width="6.1640625" customWidth="1"/>
    <col min="17" max="17" width="9.6640625" customWidth="1"/>
    <col min="18" max="18" width="4.6640625" customWidth="1"/>
    <col min="19" max="19" width="5.6640625" customWidth="1"/>
    <col min="20" max="20" width="9.33203125" customWidth="1"/>
    <col min="21" max="21" width="6.33203125" customWidth="1"/>
    <col min="22" max="22" width="6.1640625" customWidth="1"/>
    <col min="23" max="23" width="6" customWidth="1"/>
    <col min="24" max="24" width="5.83203125" customWidth="1"/>
    <col min="25" max="25" width="5.6640625" customWidth="1"/>
    <col min="26" max="26" width="5.83203125" customWidth="1"/>
    <col min="27" max="27" width="6.1640625" customWidth="1"/>
    <col min="28" max="28" width="7.1640625" customWidth="1"/>
    <col min="29" max="29" width="5.6640625" customWidth="1"/>
  </cols>
  <sheetData>
    <row r="1" spans="1:29">
      <c r="A1" s="43" t="s">
        <v>55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5"/>
    </row>
    <row r="2" spans="1:29">
      <c r="A2" s="46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7"/>
    </row>
    <row r="3" spans="1:29">
      <c r="A3" s="16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7"/>
    </row>
    <row r="4" spans="1:29" ht="18">
      <c r="A4" s="48" t="s">
        <v>56</v>
      </c>
      <c r="B4" s="49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7"/>
    </row>
    <row r="5" spans="1:29" ht="15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2" t="s">
        <v>6</v>
      </c>
      <c r="H5" s="12" t="s">
        <v>7</v>
      </c>
      <c r="I5" s="12" t="s">
        <v>8</v>
      </c>
      <c r="J5" s="12" t="s">
        <v>9</v>
      </c>
      <c r="K5" s="12" t="s">
        <v>10</v>
      </c>
      <c r="L5" s="12" t="s">
        <v>11</v>
      </c>
      <c r="M5" s="12" t="s">
        <v>12</v>
      </c>
      <c r="N5" s="12" t="s">
        <v>13</v>
      </c>
      <c r="O5" s="12" t="s">
        <v>14</v>
      </c>
      <c r="P5" s="12" t="s">
        <v>15</v>
      </c>
      <c r="Q5" s="12" t="s">
        <v>16</v>
      </c>
      <c r="R5" s="12" t="s">
        <v>17</v>
      </c>
      <c r="S5" s="12" t="s">
        <v>18</v>
      </c>
      <c r="T5" s="12" t="s">
        <v>19</v>
      </c>
      <c r="U5" s="12" t="s">
        <v>20</v>
      </c>
      <c r="V5" s="12" t="s">
        <v>21</v>
      </c>
      <c r="W5" s="12" t="s">
        <v>22</v>
      </c>
      <c r="X5" s="12" t="s">
        <v>23</v>
      </c>
      <c r="Y5" s="12" t="s">
        <v>24</v>
      </c>
      <c r="Z5" s="12" t="s">
        <v>25</v>
      </c>
      <c r="AA5" s="12" t="s">
        <v>26</v>
      </c>
      <c r="AB5" s="12" t="s">
        <v>27</v>
      </c>
      <c r="AC5" s="12" t="s">
        <v>28</v>
      </c>
    </row>
    <row r="6" spans="1:29">
      <c r="A6" s="13" cm="1">
        <f t="array" ref="A6:AC7">_xlfn._xlws.FILTER(RaptorsPerGameTable[],(RaptorsPerGameTable[Pos]="PG")*(RaptorsPerGameTable[G]&gt;41))</f>
        <v>3</v>
      </c>
      <c r="B6" s="13" t="str">
        <v>Immanuel Quickley</v>
      </c>
      <c r="C6" s="13">
        <v>26</v>
      </c>
      <c r="D6" s="13" t="str">
        <v>PG</v>
      </c>
      <c r="E6" s="13">
        <v>70</v>
      </c>
      <c r="F6" s="13">
        <v>70</v>
      </c>
      <c r="G6" s="13">
        <v>31.9</v>
      </c>
      <c r="H6" s="13">
        <v>5.7</v>
      </c>
      <c r="I6" s="13">
        <v>12.9</v>
      </c>
      <c r="J6" s="13">
        <v>0.443</v>
      </c>
      <c r="K6" s="13">
        <v>2.5</v>
      </c>
      <c r="L6" s="13">
        <v>6.8</v>
      </c>
      <c r="M6" s="13">
        <v>0.374</v>
      </c>
      <c r="N6" s="13">
        <v>3.2</v>
      </c>
      <c r="O6" s="13">
        <v>6.1</v>
      </c>
      <c r="P6" s="13">
        <v>0.52</v>
      </c>
      <c r="Q6" s="13">
        <v>0.54100000000000004</v>
      </c>
      <c r="R6" s="13">
        <v>2.4</v>
      </c>
      <c r="S6" s="13">
        <v>3</v>
      </c>
      <c r="T6" s="13">
        <v>0.82099999999999995</v>
      </c>
      <c r="U6" s="13">
        <v>0.5</v>
      </c>
      <c r="V6" s="13">
        <v>3.5</v>
      </c>
      <c r="W6" s="13">
        <v>4</v>
      </c>
      <c r="X6" s="13">
        <v>5.9</v>
      </c>
      <c r="Y6" s="13">
        <v>1.3</v>
      </c>
      <c r="Z6" s="13">
        <v>0.1</v>
      </c>
      <c r="AA6" s="13">
        <v>1.5</v>
      </c>
      <c r="AB6" s="13">
        <v>2</v>
      </c>
      <c r="AC6" s="13">
        <v>16.399999999999999</v>
      </c>
    </row>
    <row r="7" spans="1:29">
      <c r="A7" s="13">
        <v>6</v>
      </c>
      <c r="B7" s="13" t="str">
        <v>Jamal Shead</v>
      </c>
      <c r="C7" s="13">
        <v>23</v>
      </c>
      <c r="D7" s="13" t="str">
        <v>PG</v>
      </c>
      <c r="E7" s="13">
        <v>82</v>
      </c>
      <c r="F7" s="13">
        <v>12</v>
      </c>
      <c r="G7" s="13">
        <v>22.6</v>
      </c>
      <c r="H7" s="13">
        <v>2.2999999999999998</v>
      </c>
      <c r="I7" s="13">
        <v>6.1</v>
      </c>
      <c r="J7" s="13">
        <v>0.36699999999999999</v>
      </c>
      <c r="K7" s="13">
        <v>1</v>
      </c>
      <c r="L7" s="13">
        <v>3.2</v>
      </c>
      <c r="M7" s="13">
        <v>0.32100000000000001</v>
      </c>
      <c r="N7" s="13">
        <v>1.2</v>
      </c>
      <c r="O7" s="13">
        <v>3</v>
      </c>
      <c r="P7" s="13">
        <v>0.41699999999999998</v>
      </c>
      <c r="Q7" s="13">
        <v>0.45</v>
      </c>
      <c r="R7" s="13">
        <v>1.1000000000000001</v>
      </c>
      <c r="S7" s="13">
        <v>1.4</v>
      </c>
      <c r="T7" s="13">
        <v>0.78400000000000003</v>
      </c>
      <c r="U7" s="13">
        <v>0.3</v>
      </c>
      <c r="V7" s="13">
        <v>1.4</v>
      </c>
      <c r="W7" s="13">
        <v>1.7</v>
      </c>
      <c r="X7" s="13">
        <v>5.4</v>
      </c>
      <c r="Y7" s="13">
        <v>0.9</v>
      </c>
      <c r="Z7" s="13">
        <v>0.2</v>
      </c>
      <c r="AA7" s="13">
        <v>1.4</v>
      </c>
      <c r="AB7" s="13">
        <v>2</v>
      </c>
      <c r="AC7" s="13">
        <v>6.6</v>
      </c>
    </row>
    <row r="8" spans="1:29">
      <c r="A8" s="16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7"/>
    </row>
    <row r="9" spans="1:29">
      <c r="A9" s="16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7"/>
    </row>
    <row r="10" spans="1:29">
      <c r="A10" s="16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7"/>
    </row>
    <row r="11" spans="1:29" ht="18">
      <c r="A11" s="48" t="s">
        <v>57</v>
      </c>
      <c r="B11" s="49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7"/>
    </row>
    <row r="12" spans="1:29" ht="15">
      <c r="A12" s="12" t="s">
        <v>0</v>
      </c>
      <c r="B12" s="12" t="s">
        <v>1</v>
      </c>
      <c r="C12" s="12" t="s">
        <v>2</v>
      </c>
      <c r="D12" s="12" t="s">
        <v>3</v>
      </c>
      <c r="E12" s="12" t="s">
        <v>4</v>
      </c>
      <c r="F12" s="12" t="s">
        <v>5</v>
      </c>
      <c r="G12" s="12" t="s">
        <v>6</v>
      </c>
      <c r="H12" s="12" t="s">
        <v>7</v>
      </c>
      <c r="I12" s="12" t="s">
        <v>8</v>
      </c>
      <c r="J12" s="12" t="s">
        <v>9</v>
      </c>
      <c r="K12" s="12" t="s">
        <v>10</v>
      </c>
      <c r="L12" s="12" t="s">
        <v>11</v>
      </c>
      <c r="M12" s="12" t="s">
        <v>12</v>
      </c>
      <c r="N12" s="12" t="s">
        <v>13</v>
      </c>
      <c r="O12" s="12" t="s">
        <v>14</v>
      </c>
      <c r="P12" s="12" t="s">
        <v>15</v>
      </c>
      <c r="Q12" s="12" t="s">
        <v>16</v>
      </c>
      <c r="R12" s="12" t="s">
        <v>17</v>
      </c>
      <c r="S12" s="12" t="s">
        <v>18</v>
      </c>
      <c r="T12" s="12" t="s">
        <v>19</v>
      </c>
      <c r="U12" s="12" t="s">
        <v>20</v>
      </c>
      <c r="V12" s="12" t="s">
        <v>21</v>
      </c>
      <c r="W12" s="12" t="s">
        <v>22</v>
      </c>
      <c r="X12" s="12" t="s">
        <v>23</v>
      </c>
      <c r="Y12" s="12" t="s">
        <v>24</v>
      </c>
      <c r="Z12" s="12" t="s">
        <v>25</v>
      </c>
      <c r="AA12" s="12" t="s">
        <v>26</v>
      </c>
      <c r="AB12" s="12" t="s">
        <v>27</v>
      </c>
      <c r="AC12" s="12" t="s">
        <v>28</v>
      </c>
    </row>
    <row r="13" spans="1:29">
      <c r="A13" s="13" cm="1">
        <f t="array" ref="A13:AC15">_xlfn._xlws.FILTER(RaptorsPerGameTable[],(RaptorsPerGameTable[Pos]="SG")*(RaptorsPerGameTable[G]&gt;41))</f>
        <v>9</v>
      </c>
      <c r="B13" s="13" t="str">
        <v>Ja'Kobe Walter</v>
      </c>
      <c r="C13" s="13">
        <v>21</v>
      </c>
      <c r="D13" s="13" t="str">
        <v>SG</v>
      </c>
      <c r="E13" s="13">
        <v>72</v>
      </c>
      <c r="F13" s="13">
        <v>19</v>
      </c>
      <c r="G13" s="13">
        <v>20.5</v>
      </c>
      <c r="H13" s="13">
        <v>2.5</v>
      </c>
      <c r="I13" s="13">
        <v>5.6</v>
      </c>
      <c r="J13" s="13">
        <v>0.44600000000000001</v>
      </c>
      <c r="K13" s="13">
        <v>1.5</v>
      </c>
      <c r="L13" s="13">
        <v>3.7</v>
      </c>
      <c r="M13" s="13">
        <v>0.40899999999999997</v>
      </c>
      <c r="N13" s="13">
        <v>1</v>
      </c>
      <c r="O13" s="13">
        <v>1.9</v>
      </c>
      <c r="P13" s="13">
        <v>0.51900000000000002</v>
      </c>
      <c r="Q13" s="13">
        <v>0.58199999999999996</v>
      </c>
      <c r="R13" s="13">
        <v>1</v>
      </c>
      <c r="S13" s="13">
        <v>1.3</v>
      </c>
      <c r="T13" s="13">
        <v>0.78900000000000003</v>
      </c>
      <c r="U13" s="13">
        <v>0.8</v>
      </c>
      <c r="V13" s="13">
        <v>1.8</v>
      </c>
      <c r="W13" s="13">
        <v>2.6</v>
      </c>
      <c r="X13" s="13">
        <v>1.2</v>
      </c>
      <c r="Y13" s="13">
        <v>1</v>
      </c>
      <c r="Z13" s="13">
        <v>0.2</v>
      </c>
      <c r="AA13" s="13">
        <v>0.5</v>
      </c>
      <c r="AB13" s="13">
        <v>2.2999999999999998</v>
      </c>
      <c r="AC13" s="13">
        <v>7.5</v>
      </c>
    </row>
    <row r="14" spans="1:29">
      <c r="A14" s="13">
        <v>10</v>
      </c>
      <c r="B14" s="13" t="str">
        <v>Ochai Agbaji</v>
      </c>
      <c r="C14" s="13">
        <v>25</v>
      </c>
      <c r="D14" s="13" t="str">
        <v>SG</v>
      </c>
      <c r="E14" s="13">
        <v>42</v>
      </c>
      <c r="F14" s="13">
        <v>13</v>
      </c>
      <c r="G14" s="13">
        <v>15.5</v>
      </c>
      <c r="H14" s="13">
        <v>1.7</v>
      </c>
      <c r="I14" s="13">
        <v>4</v>
      </c>
      <c r="J14" s="13">
        <v>0.42399999999999999</v>
      </c>
      <c r="K14" s="13">
        <v>0.3</v>
      </c>
      <c r="L14" s="13">
        <v>1.5</v>
      </c>
      <c r="M14" s="13">
        <v>0.185</v>
      </c>
      <c r="N14" s="13">
        <v>1.4</v>
      </c>
      <c r="O14" s="13">
        <v>2.5</v>
      </c>
      <c r="P14" s="13">
        <v>0.57099999999999995</v>
      </c>
      <c r="Q14" s="13">
        <v>0.45900000000000002</v>
      </c>
      <c r="R14" s="13">
        <v>0.6</v>
      </c>
      <c r="S14" s="13">
        <v>0.7</v>
      </c>
      <c r="T14" s="13">
        <v>0.86199999999999999</v>
      </c>
      <c r="U14" s="13">
        <v>0.8</v>
      </c>
      <c r="V14" s="13">
        <v>1.5</v>
      </c>
      <c r="W14" s="13">
        <v>2.2999999999999998</v>
      </c>
      <c r="X14" s="13">
        <v>0.7</v>
      </c>
      <c r="Y14" s="13">
        <v>0.4</v>
      </c>
      <c r="Z14" s="13">
        <v>0.3</v>
      </c>
      <c r="AA14" s="13">
        <v>0.5</v>
      </c>
      <c r="AB14" s="13">
        <v>1.8</v>
      </c>
      <c r="AC14" s="13">
        <v>4.3</v>
      </c>
    </row>
    <row r="15" spans="1:29">
      <c r="A15" s="13">
        <v>11</v>
      </c>
      <c r="B15" s="13" t="str">
        <v>Gradey Dick</v>
      </c>
      <c r="C15" s="13">
        <v>22</v>
      </c>
      <c r="D15" s="13" t="str">
        <v>SG</v>
      </c>
      <c r="E15" s="13">
        <v>76</v>
      </c>
      <c r="F15" s="13">
        <v>1</v>
      </c>
      <c r="G15" s="13">
        <v>14</v>
      </c>
      <c r="H15" s="13">
        <v>2.1</v>
      </c>
      <c r="I15" s="13">
        <v>5.0999999999999996</v>
      </c>
      <c r="J15" s="13">
        <v>0.41899999999999998</v>
      </c>
      <c r="K15" s="13">
        <v>0.7</v>
      </c>
      <c r="L15" s="13">
        <v>2.4</v>
      </c>
      <c r="M15" s="13">
        <v>0.30099999999999999</v>
      </c>
      <c r="N15" s="13">
        <v>1.4</v>
      </c>
      <c r="O15" s="13">
        <v>2.6</v>
      </c>
      <c r="P15" s="13">
        <v>0.53</v>
      </c>
      <c r="Q15" s="13">
        <v>0.49199999999999999</v>
      </c>
      <c r="R15" s="13">
        <v>1</v>
      </c>
      <c r="S15" s="13">
        <v>1.2</v>
      </c>
      <c r="T15" s="13">
        <v>0.875</v>
      </c>
      <c r="U15" s="13">
        <v>0.6</v>
      </c>
      <c r="V15" s="13">
        <v>1.4</v>
      </c>
      <c r="W15" s="13">
        <v>1.9</v>
      </c>
      <c r="X15" s="13">
        <v>0.7</v>
      </c>
      <c r="Y15" s="13">
        <v>0.6</v>
      </c>
      <c r="Z15" s="13">
        <v>0.1</v>
      </c>
      <c r="AA15" s="13">
        <v>0.6</v>
      </c>
      <c r="AB15" s="13">
        <v>1.3</v>
      </c>
      <c r="AC15" s="13">
        <v>6</v>
      </c>
    </row>
    <row r="16" spans="1:29">
      <c r="A16" s="16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7"/>
    </row>
    <row r="17" spans="1:29">
      <c r="A17" s="16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7"/>
    </row>
    <row r="18" spans="1:29">
      <c r="A18" s="1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7"/>
    </row>
    <row r="19" spans="1:29" ht="18">
      <c r="A19" s="48" t="s">
        <v>58</v>
      </c>
      <c r="B19" s="4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7"/>
    </row>
    <row r="20" spans="1:29" ht="15">
      <c r="A20" s="12" t="s">
        <v>0</v>
      </c>
      <c r="B20" s="12" t="s">
        <v>1</v>
      </c>
      <c r="C20" s="12" t="s">
        <v>2</v>
      </c>
      <c r="D20" s="12" t="s">
        <v>3</v>
      </c>
      <c r="E20" s="12" t="s">
        <v>4</v>
      </c>
      <c r="F20" s="12" t="s">
        <v>5</v>
      </c>
      <c r="G20" s="12" t="s">
        <v>6</v>
      </c>
      <c r="H20" s="12" t="s">
        <v>7</v>
      </c>
      <c r="I20" s="12" t="s">
        <v>8</v>
      </c>
      <c r="J20" s="12" t="s">
        <v>9</v>
      </c>
      <c r="K20" s="12" t="s">
        <v>10</v>
      </c>
      <c r="L20" s="12" t="s">
        <v>11</v>
      </c>
      <c r="M20" s="12" t="s">
        <v>12</v>
      </c>
      <c r="N20" s="12" t="s">
        <v>13</v>
      </c>
      <c r="O20" s="12" t="s">
        <v>14</v>
      </c>
      <c r="P20" s="12" t="s">
        <v>15</v>
      </c>
      <c r="Q20" s="12" t="s">
        <v>16</v>
      </c>
      <c r="R20" s="12" t="s">
        <v>17</v>
      </c>
      <c r="S20" s="12" t="s">
        <v>18</v>
      </c>
      <c r="T20" s="12" t="s">
        <v>19</v>
      </c>
      <c r="U20" s="12" t="s">
        <v>20</v>
      </c>
      <c r="V20" s="12" t="s">
        <v>21</v>
      </c>
      <c r="W20" s="12" t="s">
        <v>22</v>
      </c>
      <c r="X20" s="12" t="s">
        <v>23</v>
      </c>
      <c r="Y20" s="12" t="s">
        <v>24</v>
      </c>
      <c r="Z20" s="12" t="s">
        <v>25</v>
      </c>
      <c r="AA20" s="12" t="s">
        <v>26</v>
      </c>
      <c r="AB20" s="12" t="s">
        <v>27</v>
      </c>
      <c r="AC20" s="12" t="s">
        <v>28</v>
      </c>
    </row>
    <row r="21" spans="1:29">
      <c r="A21" s="13" cm="1">
        <f t="array" ref="A21:AC23">_xlfn._xlws.FILTER(RaptorsPerGameTable[],(RaptorsPerGameTable[Pos]="SF")*(RaptorsPerGameTable[G]&gt;41))</f>
        <v>1</v>
      </c>
      <c r="B21" s="13" t="str">
        <v>Brandon Ingram</v>
      </c>
      <c r="C21" s="13">
        <v>28</v>
      </c>
      <c r="D21" s="13" t="str">
        <v>SF</v>
      </c>
      <c r="E21" s="13">
        <v>77</v>
      </c>
      <c r="F21" s="13">
        <v>77</v>
      </c>
      <c r="G21" s="13">
        <v>33.799999999999997</v>
      </c>
      <c r="H21" s="13">
        <v>8</v>
      </c>
      <c r="I21" s="13">
        <v>16.7</v>
      </c>
      <c r="J21" s="13">
        <v>0.47699999999999998</v>
      </c>
      <c r="K21" s="13">
        <v>1.8</v>
      </c>
      <c r="L21" s="13">
        <v>4.5999999999999996</v>
      </c>
      <c r="M21" s="13">
        <v>0.38200000000000001</v>
      </c>
      <c r="N21" s="13">
        <v>6.2</v>
      </c>
      <c r="O21" s="13">
        <v>12.1</v>
      </c>
      <c r="P21" s="13">
        <v>0.51200000000000001</v>
      </c>
      <c r="Q21" s="13">
        <v>0.52900000000000003</v>
      </c>
      <c r="R21" s="13">
        <v>3.8</v>
      </c>
      <c r="S21" s="13">
        <v>4.5999999999999996</v>
      </c>
      <c r="T21" s="13">
        <v>0.82</v>
      </c>
      <c r="U21" s="13">
        <v>0.8</v>
      </c>
      <c r="V21" s="13">
        <v>4.8</v>
      </c>
      <c r="W21" s="13">
        <v>5.6</v>
      </c>
      <c r="X21" s="13">
        <v>3.7</v>
      </c>
      <c r="Y21" s="13">
        <v>0.8</v>
      </c>
      <c r="Z21" s="13">
        <v>0.7</v>
      </c>
      <c r="AA21" s="13">
        <v>2.4</v>
      </c>
      <c r="AB21" s="13">
        <v>1.9</v>
      </c>
      <c r="AC21" s="13">
        <v>21.5</v>
      </c>
    </row>
    <row r="22" spans="1:29">
      <c r="A22" s="13">
        <v>4</v>
      </c>
      <c r="B22" s="13" t="str">
        <v>RJ Barrett</v>
      </c>
      <c r="C22" s="13">
        <v>25</v>
      </c>
      <c r="D22" s="13" t="str">
        <v>SF</v>
      </c>
      <c r="E22" s="13">
        <v>57</v>
      </c>
      <c r="F22" s="13">
        <v>57</v>
      </c>
      <c r="G22" s="13">
        <v>30.3</v>
      </c>
      <c r="H22" s="13">
        <v>7</v>
      </c>
      <c r="I22" s="13">
        <v>14.3</v>
      </c>
      <c r="J22" s="13">
        <v>0.49099999999999999</v>
      </c>
      <c r="K22" s="13">
        <v>1.7</v>
      </c>
      <c r="L22" s="13">
        <v>5</v>
      </c>
      <c r="M22" s="13">
        <v>0.33900000000000002</v>
      </c>
      <c r="N22" s="13">
        <v>5.4</v>
      </c>
      <c r="O22" s="13">
        <v>9.4</v>
      </c>
      <c r="P22" s="13">
        <v>0.57199999999999995</v>
      </c>
      <c r="Q22" s="13">
        <v>0.55000000000000004</v>
      </c>
      <c r="R22" s="13">
        <v>3.5</v>
      </c>
      <c r="S22" s="13">
        <v>4.9000000000000004</v>
      </c>
      <c r="T22" s="13">
        <v>0.71699999999999997</v>
      </c>
      <c r="U22" s="13">
        <v>1</v>
      </c>
      <c r="V22" s="13">
        <v>4.3</v>
      </c>
      <c r="W22" s="13">
        <v>5.3</v>
      </c>
      <c r="X22" s="13">
        <v>3.3</v>
      </c>
      <c r="Y22" s="13">
        <v>0.7</v>
      </c>
      <c r="Z22" s="13">
        <v>0.3</v>
      </c>
      <c r="AA22" s="13">
        <v>1.7</v>
      </c>
      <c r="AB22" s="13">
        <v>2.6</v>
      </c>
      <c r="AC22" s="13">
        <v>19.3</v>
      </c>
    </row>
    <row r="23" spans="1:29">
      <c r="A23" s="13">
        <v>13</v>
      </c>
      <c r="B23" s="13" t="str">
        <v>Jamison Battle</v>
      </c>
      <c r="C23" s="13">
        <v>24</v>
      </c>
      <c r="D23" s="13" t="str">
        <v>SF</v>
      </c>
      <c r="E23" s="13">
        <v>61</v>
      </c>
      <c r="F23" s="13">
        <v>2</v>
      </c>
      <c r="G23" s="13">
        <v>8.5</v>
      </c>
      <c r="H23" s="13">
        <v>1.2</v>
      </c>
      <c r="I23" s="13">
        <v>2.4</v>
      </c>
      <c r="J23" s="13">
        <v>0.51</v>
      </c>
      <c r="K23" s="13">
        <v>0.6</v>
      </c>
      <c r="L23" s="13">
        <v>1.4</v>
      </c>
      <c r="M23" s="13">
        <v>0.41199999999999998</v>
      </c>
      <c r="N23" s="13">
        <v>0.6</v>
      </c>
      <c r="O23" s="13">
        <v>1</v>
      </c>
      <c r="P23" s="13">
        <v>0.65</v>
      </c>
      <c r="Q23" s="13">
        <v>0.63100000000000001</v>
      </c>
      <c r="R23" s="13">
        <v>0.1</v>
      </c>
      <c r="S23" s="13">
        <v>0.2</v>
      </c>
      <c r="T23" s="13">
        <v>0.64300000000000002</v>
      </c>
      <c r="U23" s="13">
        <v>0.3</v>
      </c>
      <c r="V23" s="13">
        <v>1.1000000000000001</v>
      </c>
      <c r="W23" s="13">
        <v>1.5</v>
      </c>
      <c r="X23" s="13">
        <v>0.4</v>
      </c>
      <c r="Y23" s="13">
        <v>0.1</v>
      </c>
      <c r="Z23" s="13">
        <v>0</v>
      </c>
      <c r="AA23" s="13">
        <v>0.3</v>
      </c>
      <c r="AB23" s="13">
        <v>0.7</v>
      </c>
      <c r="AC23" s="13">
        <v>3.1</v>
      </c>
    </row>
    <row r="24" spans="1:29">
      <c r="A24" s="16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7"/>
    </row>
    <row r="25" spans="1:29">
      <c r="A25" s="16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7"/>
    </row>
    <row r="26" spans="1:29">
      <c r="A26" s="1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7"/>
    </row>
    <row r="27" spans="1:29" ht="18" customHeight="1">
      <c r="A27" s="41" t="s">
        <v>59</v>
      </c>
      <c r="B27" s="4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7"/>
    </row>
    <row r="28" spans="1:29" ht="15">
      <c r="A28" s="14" t="s">
        <v>0</v>
      </c>
      <c r="B28" s="15" t="s">
        <v>1</v>
      </c>
      <c r="C28" s="15" t="s">
        <v>2</v>
      </c>
      <c r="D28" s="15" t="s">
        <v>3</v>
      </c>
      <c r="E28" s="15" t="s">
        <v>4</v>
      </c>
      <c r="F28" s="15" t="s">
        <v>5</v>
      </c>
      <c r="G28" s="15" t="s">
        <v>6</v>
      </c>
      <c r="H28" s="15" t="s">
        <v>7</v>
      </c>
      <c r="I28" s="15" t="s">
        <v>8</v>
      </c>
      <c r="J28" s="15" t="s">
        <v>9</v>
      </c>
      <c r="K28" s="15" t="s">
        <v>10</v>
      </c>
      <c r="L28" s="15" t="s">
        <v>11</v>
      </c>
      <c r="M28" s="15" t="s">
        <v>12</v>
      </c>
      <c r="N28" s="15" t="s">
        <v>13</v>
      </c>
      <c r="O28" s="15" t="s">
        <v>14</v>
      </c>
      <c r="P28" s="15" t="s">
        <v>15</v>
      </c>
      <c r="Q28" s="15" t="s">
        <v>16</v>
      </c>
      <c r="R28" s="15" t="s">
        <v>17</v>
      </c>
      <c r="S28" s="15" t="s">
        <v>18</v>
      </c>
      <c r="T28" s="15" t="s">
        <v>19</v>
      </c>
      <c r="U28" s="15" t="s">
        <v>20</v>
      </c>
      <c r="V28" s="15" t="s">
        <v>21</v>
      </c>
      <c r="W28" s="15" t="s">
        <v>22</v>
      </c>
      <c r="X28" s="15" t="s">
        <v>23</v>
      </c>
      <c r="Y28" s="15" t="s">
        <v>24</v>
      </c>
      <c r="Z28" s="15" t="s">
        <v>25</v>
      </c>
      <c r="AA28" s="15" t="s">
        <v>26</v>
      </c>
      <c r="AB28" s="15" t="s">
        <v>27</v>
      </c>
      <c r="AC28" s="15" t="s">
        <v>28</v>
      </c>
    </row>
    <row r="29" spans="1:29">
      <c r="A29" s="13" cm="1">
        <f t="array" ref="A29:AC30">_xlfn._xlws.FILTER(RaptorsPerGameTable[],(RaptorsPerGameTable[Pos]="PF")*(RaptorsPerGameTable[G]&gt;41))</f>
        <v>2</v>
      </c>
      <c r="B29" s="13" t="str">
        <v>Scottie Barnes</v>
      </c>
      <c r="C29" s="13">
        <v>24</v>
      </c>
      <c r="D29" s="13" t="str">
        <v>PF</v>
      </c>
      <c r="E29" s="13">
        <v>80</v>
      </c>
      <c r="F29" s="13">
        <v>80</v>
      </c>
      <c r="G29" s="13">
        <v>33.5</v>
      </c>
      <c r="H29" s="13">
        <v>7.1</v>
      </c>
      <c r="I29" s="13">
        <v>14</v>
      </c>
      <c r="J29" s="13">
        <v>0.50700000000000001</v>
      </c>
      <c r="K29" s="13">
        <v>0.9</v>
      </c>
      <c r="L29" s="13">
        <v>2.8</v>
      </c>
      <c r="M29" s="13">
        <v>0.30399999999999999</v>
      </c>
      <c r="N29" s="13">
        <v>6.3</v>
      </c>
      <c r="O29" s="13">
        <v>11.2</v>
      </c>
      <c r="P29" s="13">
        <v>0.55700000000000005</v>
      </c>
      <c r="Q29" s="13">
        <v>0.53700000000000003</v>
      </c>
      <c r="R29" s="13">
        <v>3</v>
      </c>
      <c r="S29" s="13">
        <v>3.7</v>
      </c>
      <c r="T29" s="13">
        <v>0.81499999999999995</v>
      </c>
      <c r="U29" s="13">
        <v>1.9</v>
      </c>
      <c r="V29" s="13">
        <v>5.6</v>
      </c>
      <c r="W29" s="13">
        <v>7.5</v>
      </c>
      <c r="X29" s="13">
        <v>5.9</v>
      </c>
      <c r="Y29" s="13">
        <v>1.4</v>
      </c>
      <c r="Z29" s="13">
        <v>1.5</v>
      </c>
      <c r="AA29" s="13">
        <v>2.6</v>
      </c>
      <c r="AB29" s="13">
        <v>2.6</v>
      </c>
      <c r="AC29" s="13">
        <v>18.100000000000001</v>
      </c>
    </row>
    <row r="30" spans="1:29">
      <c r="A30" s="13">
        <v>7</v>
      </c>
      <c r="B30" s="13" t="str">
        <v>Collin Murray-Boyles</v>
      </c>
      <c r="C30" s="13">
        <v>20</v>
      </c>
      <c r="D30" s="13" t="str">
        <v>PF</v>
      </c>
      <c r="E30" s="13">
        <v>57</v>
      </c>
      <c r="F30" s="13">
        <v>22</v>
      </c>
      <c r="G30" s="13">
        <v>21.9</v>
      </c>
      <c r="H30" s="13">
        <v>3.5</v>
      </c>
      <c r="I30" s="13">
        <v>6</v>
      </c>
      <c r="J30" s="13">
        <v>0.57899999999999996</v>
      </c>
      <c r="K30" s="13">
        <v>0.3</v>
      </c>
      <c r="L30" s="13">
        <v>0.9</v>
      </c>
      <c r="M30" s="13">
        <v>0.34</v>
      </c>
      <c r="N30" s="13">
        <v>3.2</v>
      </c>
      <c r="O30" s="13">
        <v>5.0999999999999996</v>
      </c>
      <c r="P30" s="13">
        <v>0.62</v>
      </c>
      <c r="Q30" s="13">
        <v>0.60399999999999998</v>
      </c>
      <c r="R30" s="13">
        <v>1.2</v>
      </c>
      <c r="S30" s="13">
        <v>1.9</v>
      </c>
      <c r="T30" s="13">
        <v>0.65700000000000003</v>
      </c>
      <c r="U30" s="13">
        <v>2.2999999999999998</v>
      </c>
      <c r="V30" s="13">
        <v>2.7</v>
      </c>
      <c r="W30" s="13">
        <v>5</v>
      </c>
      <c r="X30" s="13">
        <v>1.9</v>
      </c>
      <c r="Y30" s="13">
        <v>0.9</v>
      </c>
      <c r="Z30" s="13">
        <v>0.9</v>
      </c>
      <c r="AA30" s="13">
        <v>1</v>
      </c>
      <c r="AB30" s="13">
        <v>2.6</v>
      </c>
      <c r="AC30" s="13">
        <v>8.5</v>
      </c>
    </row>
    <row r="31" spans="1:29">
      <c r="A31" s="16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7"/>
    </row>
    <row r="32" spans="1:29">
      <c r="A32" s="1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7"/>
    </row>
    <row r="33" spans="1:29">
      <c r="A33" s="16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7"/>
    </row>
    <row r="34" spans="1:29" ht="18">
      <c r="A34" s="41" t="s">
        <v>60</v>
      </c>
      <c r="B34" s="4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7"/>
    </row>
    <row r="35" spans="1:29" ht="15">
      <c r="A35" s="14" t="s">
        <v>0</v>
      </c>
      <c r="B35" s="15" t="s">
        <v>1</v>
      </c>
      <c r="C35" s="15" t="s">
        <v>2</v>
      </c>
      <c r="D35" s="15" t="s">
        <v>3</v>
      </c>
      <c r="E35" s="15" t="s">
        <v>4</v>
      </c>
      <c r="F35" s="15" t="s">
        <v>5</v>
      </c>
      <c r="G35" s="15" t="s">
        <v>6</v>
      </c>
      <c r="H35" s="15" t="s">
        <v>7</v>
      </c>
      <c r="I35" s="15" t="s">
        <v>8</v>
      </c>
      <c r="J35" s="15" t="s">
        <v>9</v>
      </c>
      <c r="K35" s="15" t="s">
        <v>10</v>
      </c>
      <c r="L35" s="15" t="s">
        <v>11</v>
      </c>
      <c r="M35" s="15" t="s">
        <v>12</v>
      </c>
      <c r="N35" s="15" t="s">
        <v>13</v>
      </c>
      <c r="O35" s="15" t="s">
        <v>14</v>
      </c>
      <c r="P35" s="15" t="s">
        <v>15</v>
      </c>
      <c r="Q35" s="15" t="s">
        <v>16</v>
      </c>
      <c r="R35" s="15" t="s">
        <v>17</v>
      </c>
      <c r="S35" s="15" t="s">
        <v>18</v>
      </c>
      <c r="T35" s="15" t="s">
        <v>19</v>
      </c>
      <c r="U35" s="15" t="s">
        <v>20</v>
      </c>
      <c r="V35" s="15" t="s">
        <v>21</v>
      </c>
      <c r="W35" s="15" t="s">
        <v>22</v>
      </c>
      <c r="X35" s="15" t="s">
        <v>23</v>
      </c>
      <c r="Y35" s="15" t="s">
        <v>24</v>
      </c>
      <c r="Z35" s="15" t="s">
        <v>25</v>
      </c>
      <c r="AA35" s="15" t="s">
        <v>26</v>
      </c>
      <c r="AB35" s="15" t="s">
        <v>27</v>
      </c>
      <c r="AC35" s="15" t="s">
        <v>28</v>
      </c>
    </row>
    <row r="36" spans="1:29">
      <c r="A36" s="13" cm="1">
        <f t="array" ref="A36:AC37">_xlfn._xlws.FILTER(RaptorsPerGameTable[],(RaptorsPerGameTable[Pos]="C")*(RaptorsPerGameTable[G]&gt;41))</f>
        <v>5</v>
      </c>
      <c r="B36" s="13" t="str">
        <v>Jakob Poeltl</v>
      </c>
      <c r="C36" s="13">
        <v>30</v>
      </c>
      <c r="D36" s="13" t="str">
        <v>C</v>
      </c>
      <c r="E36" s="13">
        <v>46</v>
      </c>
      <c r="F36" s="13">
        <v>44</v>
      </c>
      <c r="G36" s="13">
        <v>25</v>
      </c>
      <c r="H36" s="13">
        <v>4.7</v>
      </c>
      <c r="I36" s="13">
        <v>6.7</v>
      </c>
      <c r="J36" s="13">
        <v>0.7</v>
      </c>
      <c r="K36" s="13">
        <v>0</v>
      </c>
      <c r="L36" s="13">
        <v>0</v>
      </c>
      <c r="M36" s="13">
        <v>0</v>
      </c>
      <c r="N36" s="13">
        <v>4.7</v>
      </c>
      <c r="O36" s="13">
        <v>6.7</v>
      </c>
      <c r="P36" s="13">
        <v>0.7</v>
      </c>
      <c r="Q36" s="13">
        <v>0.7</v>
      </c>
      <c r="R36" s="13">
        <v>1.3</v>
      </c>
      <c r="S36" s="13">
        <v>2.1</v>
      </c>
      <c r="T36" s="13">
        <v>0.60199999999999998</v>
      </c>
      <c r="U36" s="13">
        <v>2.5</v>
      </c>
      <c r="V36" s="13">
        <v>4.5</v>
      </c>
      <c r="W36" s="13">
        <v>7</v>
      </c>
      <c r="X36" s="13">
        <v>2</v>
      </c>
      <c r="Y36" s="13">
        <v>0.9</v>
      </c>
      <c r="Z36" s="13">
        <v>0.7</v>
      </c>
      <c r="AA36" s="13">
        <v>1.2</v>
      </c>
      <c r="AB36" s="13">
        <v>3.2</v>
      </c>
      <c r="AC36" s="13">
        <v>10.7</v>
      </c>
    </row>
    <row r="37" spans="1:29">
      <c r="A37" s="13">
        <v>8</v>
      </c>
      <c r="B37" s="13" t="str">
        <v>Sandro Mamukelashvili</v>
      </c>
      <c r="C37" s="13">
        <v>26</v>
      </c>
      <c r="D37" s="13" t="str">
        <v>C</v>
      </c>
      <c r="E37" s="13">
        <v>80</v>
      </c>
      <c r="F37" s="13">
        <v>13</v>
      </c>
      <c r="G37" s="13">
        <v>21.9</v>
      </c>
      <c r="H37" s="13">
        <v>4.0999999999999996</v>
      </c>
      <c r="I37" s="13">
        <v>7.9</v>
      </c>
      <c r="J37" s="13">
        <v>0.52300000000000002</v>
      </c>
      <c r="K37" s="13">
        <v>1.4</v>
      </c>
      <c r="L37" s="13">
        <v>3.7</v>
      </c>
      <c r="M37" s="13">
        <v>0.38900000000000001</v>
      </c>
      <c r="N37" s="13">
        <v>2.7</v>
      </c>
      <c r="O37" s="13">
        <v>4.2</v>
      </c>
      <c r="P37" s="13">
        <v>0.64200000000000002</v>
      </c>
      <c r="Q37" s="13">
        <v>0.61399999999999999</v>
      </c>
      <c r="R37" s="13">
        <v>1.5</v>
      </c>
      <c r="S37" s="13">
        <v>2</v>
      </c>
      <c r="T37" s="13">
        <v>0.747</v>
      </c>
      <c r="U37" s="13">
        <v>1.4</v>
      </c>
      <c r="V37" s="13">
        <v>3.6</v>
      </c>
      <c r="W37" s="13">
        <v>4.9000000000000004</v>
      </c>
      <c r="X37" s="13">
        <v>1.9</v>
      </c>
      <c r="Y37" s="13">
        <v>0.8</v>
      </c>
      <c r="Z37" s="13">
        <v>0.5</v>
      </c>
      <c r="AA37" s="13">
        <v>0.8</v>
      </c>
      <c r="AB37" s="13">
        <v>1.8</v>
      </c>
      <c r="AC37" s="13">
        <v>11.2</v>
      </c>
    </row>
  </sheetData>
  <mergeCells count="6">
    <mergeCell ref="A34:B34"/>
    <mergeCell ref="A1:AC2"/>
    <mergeCell ref="A4:B4"/>
    <mergeCell ref="A11:B11"/>
    <mergeCell ref="A19:B19"/>
    <mergeCell ref="A27:B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BA48-344C-464B-941B-C13B00714E28}">
  <dimension ref="A1:V27"/>
  <sheetViews>
    <sheetView tabSelected="1" workbookViewId="0">
      <selection activeCell="F6" sqref="F6"/>
    </sheetView>
  </sheetViews>
  <sheetFormatPr baseColWidth="10" defaultRowHeight="14"/>
  <cols>
    <col min="1" max="1" width="9.5" customWidth="1"/>
    <col min="2" max="2" width="27.6640625" customWidth="1"/>
    <col min="6" max="6" width="10.83203125" customWidth="1"/>
  </cols>
  <sheetData>
    <row r="1" spans="1:22" ht="33">
      <c r="A1" s="40" t="s">
        <v>61</v>
      </c>
      <c r="B1" s="40"/>
    </row>
    <row r="2" spans="1:22" ht="18">
      <c r="A2" s="18" t="s">
        <v>33</v>
      </c>
      <c r="B2" s="19" t="s">
        <v>32</v>
      </c>
    </row>
    <row r="3" spans="1:22" ht="18">
      <c r="A3" s="18" t="s">
        <v>41</v>
      </c>
      <c r="B3" s="19" t="s">
        <v>34</v>
      </c>
      <c r="F3" s="1"/>
    </row>
    <row r="4" spans="1:22" ht="18">
      <c r="A4" s="18" t="s">
        <v>30</v>
      </c>
      <c r="B4" s="19" t="s">
        <v>29</v>
      </c>
    </row>
    <row r="5" spans="1:22" ht="18">
      <c r="A5" s="18" t="s">
        <v>27</v>
      </c>
      <c r="B5" s="19" t="s">
        <v>31</v>
      </c>
    </row>
    <row r="6" spans="1:22" ht="18">
      <c r="A6" s="18" t="s">
        <v>36</v>
      </c>
      <c r="B6" s="19" t="s">
        <v>35</v>
      </c>
    </row>
    <row r="7" spans="1:22" ht="18">
      <c r="A7" s="18" t="s">
        <v>62</v>
      </c>
      <c r="B7" s="19" t="s">
        <v>37</v>
      </c>
    </row>
    <row r="8" spans="1:22" ht="33">
      <c r="C8" s="40" t="s">
        <v>63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26"/>
      <c r="O8" s="26"/>
      <c r="P8" s="26"/>
      <c r="Q8" s="26"/>
      <c r="R8" s="26"/>
      <c r="S8" s="26"/>
    </row>
    <row r="9" spans="1:22">
      <c r="C9" s="16"/>
      <c r="M9" s="17"/>
    </row>
    <row r="10" spans="1:22" ht="38">
      <c r="C10" s="22"/>
      <c r="D10" s="20" t="s">
        <v>32</v>
      </c>
      <c r="E10" s="21" t="s">
        <v>64</v>
      </c>
      <c r="F10" s="25"/>
      <c r="G10" s="24"/>
      <c r="H10" s="21" t="s">
        <v>65</v>
      </c>
      <c r="I10" s="21" t="s">
        <v>66</v>
      </c>
      <c r="J10" s="23"/>
      <c r="K10" s="22"/>
      <c r="L10" s="20" t="s">
        <v>29</v>
      </c>
      <c r="M10" s="21" t="s">
        <v>67</v>
      </c>
    </row>
    <row r="11" spans="1:22" ht="18">
      <c r="C11" s="33" t="s">
        <v>28</v>
      </c>
      <c r="D11" s="30">
        <v>16.399999999999999</v>
      </c>
      <c r="E11" s="17">
        <v>12.2</v>
      </c>
      <c r="G11" s="33" t="s">
        <v>28</v>
      </c>
      <c r="H11" s="1">
        <v>19.3</v>
      </c>
      <c r="I11" s="17">
        <v>9.8000000000000007</v>
      </c>
      <c r="K11" s="33" t="s">
        <v>28</v>
      </c>
      <c r="L11" s="1">
        <v>21.5</v>
      </c>
      <c r="M11" s="17">
        <v>11.7</v>
      </c>
      <c r="N11" s="23"/>
      <c r="O11" s="23"/>
      <c r="P11" s="23"/>
      <c r="Q11" s="23"/>
      <c r="R11" s="23"/>
      <c r="S11" s="23"/>
      <c r="T11" s="23"/>
      <c r="U11" s="23"/>
      <c r="V11" s="23"/>
    </row>
    <row r="12" spans="1:22">
      <c r="C12" s="34" t="s">
        <v>23</v>
      </c>
      <c r="D12" s="1">
        <v>5.9</v>
      </c>
      <c r="E12" s="17">
        <v>4.3</v>
      </c>
      <c r="G12" s="34" t="s">
        <v>12</v>
      </c>
      <c r="H12" s="1">
        <v>0.33900000000000002</v>
      </c>
      <c r="I12" s="17">
        <v>36.299999999999997</v>
      </c>
      <c r="K12" s="34" t="s">
        <v>22</v>
      </c>
      <c r="L12" s="1">
        <v>5.6</v>
      </c>
      <c r="M12" s="39">
        <v>4</v>
      </c>
    </row>
    <row r="13" spans="1:22">
      <c r="C13" s="34" t="s">
        <v>26</v>
      </c>
      <c r="D13" s="1">
        <v>1.5</v>
      </c>
      <c r="E13" s="17">
        <v>1.7</v>
      </c>
      <c r="G13" s="34" t="s">
        <v>16</v>
      </c>
      <c r="H13" s="1">
        <v>0.55000000000000004</v>
      </c>
      <c r="I13" s="17">
        <v>0.53700000000000003</v>
      </c>
      <c r="K13" s="34" t="s">
        <v>23</v>
      </c>
      <c r="L13" s="1">
        <v>3.7</v>
      </c>
      <c r="M13" s="17">
        <v>2.2000000000000002</v>
      </c>
    </row>
    <row r="14" spans="1:22">
      <c r="C14" s="34" t="s">
        <v>72</v>
      </c>
      <c r="D14" s="31">
        <f>D12/D13</f>
        <v>3.9333333333333336</v>
      </c>
      <c r="E14" s="39">
        <f>E12/E13</f>
        <v>2.5294117647058822</v>
      </c>
      <c r="G14" s="34" t="s">
        <v>23</v>
      </c>
      <c r="H14" s="1">
        <v>3.3</v>
      </c>
      <c r="I14" s="17">
        <v>2.2999999999999998</v>
      </c>
      <c r="K14" s="34" t="s">
        <v>12</v>
      </c>
      <c r="L14" s="1">
        <v>0.38200000000000001</v>
      </c>
      <c r="M14" s="17">
        <v>0.35899999999999999</v>
      </c>
    </row>
    <row r="15" spans="1:22">
      <c r="C15" s="34" t="s">
        <v>12</v>
      </c>
      <c r="D15" s="1">
        <v>0.374</v>
      </c>
      <c r="E15" s="17">
        <v>0.36199999999999999</v>
      </c>
      <c r="G15" s="34" t="s">
        <v>26</v>
      </c>
      <c r="H15" s="1">
        <v>1.7</v>
      </c>
      <c r="I15" s="17">
        <v>1.1000000000000001</v>
      </c>
      <c r="K15" s="34" t="s">
        <v>16</v>
      </c>
      <c r="L15" s="1">
        <v>0.52900000000000003</v>
      </c>
      <c r="M15" s="17">
        <v>0.46700000000000003</v>
      </c>
    </row>
    <row r="16" spans="1:22">
      <c r="C16" s="34" t="s">
        <v>16</v>
      </c>
      <c r="D16" s="1">
        <v>0.54100000000000004</v>
      </c>
      <c r="E16" s="17">
        <v>0.52700000000000002</v>
      </c>
      <c r="G16" s="34"/>
      <c r="H16" s="1"/>
      <c r="I16" s="17"/>
      <c r="K16" s="34" t="s">
        <v>24</v>
      </c>
      <c r="L16" s="1">
        <v>0.8</v>
      </c>
      <c r="M16" s="17">
        <v>0.8</v>
      </c>
    </row>
    <row r="17" spans="3:13">
      <c r="C17" s="35" t="s">
        <v>24</v>
      </c>
      <c r="D17" s="28">
        <v>1.3</v>
      </c>
      <c r="E17" s="38">
        <v>1</v>
      </c>
      <c r="G17" s="35"/>
      <c r="H17" s="28"/>
      <c r="I17" s="29"/>
      <c r="K17" s="35" t="s">
        <v>26</v>
      </c>
      <c r="L17" s="28">
        <v>2.4</v>
      </c>
      <c r="M17" s="29">
        <v>1.4</v>
      </c>
    </row>
    <row r="18" spans="3:13">
      <c r="C18" s="36"/>
      <c r="M18" s="32"/>
    </row>
    <row r="19" spans="3:13">
      <c r="C19" s="27"/>
      <c r="M19" s="29"/>
    </row>
    <row r="20" spans="3:13" ht="38">
      <c r="C20" s="22"/>
      <c r="D20" s="20" t="s">
        <v>31</v>
      </c>
      <c r="E20" s="20" t="s">
        <v>68</v>
      </c>
      <c r="G20" s="22"/>
      <c r="H20" s="20" t="s">
        <v>35</v>
      </c>
      <c r="I20" s="20" t="s">
        <v>69</v>
      </c>
      <c r="K20" s="22"/>
      <c r="L20" s="20" t="s">
        <v>70</v>
      </c>
      <c r="M20" s="20" t="s">
        <v>71</v>
      </c>
    </row>
    <row r="21" spans="3:13">
      <c r="C21" s="33" t="s">
        <v>28</v>
      </c>
      <c r="D21" s="1">
        <v>18.100000000000001</v>
      </c>
      <c r="E21" s="17">
        <v>10.3</v>
      </c>
      <c r="G21" s="16" t="s">
        <v>28</v>
      </c>
      <c r="H21" s="36">
        <v>10.7</v>
      </c>
      <c r="I21" s="17">
        <v>9.8000000000000007</v>
      </c>
      <c r="K21" s="33" t="s">
        <v>28</v>
      </c>
      <c r="L21" s="36">
        <v>6.6</v>
      </c>
      <c r="M21" s="17">
        <v>8.3000000000000007</v>
      </c>
    </row>
    <row r="22" spans="3:13">
      <c r="C22" s="34" t="s">
        <v>22</v>
      </c>
      <c r="D22" s="1">
        <v>7.5</v>
      </c>
      <c r="E22" s="17">
        <v>4.4000000000000004</v>
      </c>
      <c r="G22" s="16" t="s">
        <v>22</v>
      </c>
      <c r="H22" s="16">
        <v>7</v>
      </c>
      <c r="I22" s="17">
        <v>6.3</v>
      </c>
      <c r="K22" s="34" t="s">
        <v>23</v>
      </c>
      <c r="L22" s="16">
        <v>5.4</v>
      </c>
      <c r="M22" s="17">
        <v>1.76</v>
      </c>
    </row>
    <row r="23" spans="3:13">
      <c r="C23" s="34" t="s">
        <v>23</v>
      </c>
      <c r="D23" s="1">
        <v>5.9</v>
      </c>
      <c r="E23" s="17">
        <v>1.9</v>
      </c>
      <c r="G23" s="16" t="s">
        <v>20</v>
      </c>
      <c r="H23" s="16">
        <v>2.5</v>
      </c>
      <c r="I23" s="17">
        <v>2.1</v>
      </c>
      <c r="K23" s="34" t="s">
        <v>26</v>
      </c>
      <c r="L23" s="16">
        <v>1.4</v>
      </c>
      <c r="M23" s="17">
        <v>0.84</v>
      </c>
    </row>
    <row r="24" spans="3:13">
      <c r="C24" s="34" t="s">
        <v>16</v>
      </c>
      <c r="D24" s="1">
        <v>0.53700000000000003</v>
      </c>
      <c r="E24" s="17">
        <v>0.48399999999999999</v>
      </c>
      <c r="G24" s="16" t="s">
        <v>16</v>
      </c>
      <c r="H24" s="16">
        <v>0.7</v>
      </c>
      <c r="I24" s="17">
        <v>0.57999999999999996</v>
      </c>
      <c r="K24" s="34" t="s">
        <v>72</v>
      </c>
      <c r="L24" s="37">
        <f>L22/L23</f>
        <v>3.8571428571428577</v>
      </c>
      <c r="M24" s="39">
        <f>M22/M23</f>
        <v>2.0952380952380953</v>
      </c>
    </row>
    <row r="25" spans="3:13">
      <c r="C25" s="34" t="s">
        <v>24</v>
      </c>
      <c r="D25" s="1">
        <v>1.4</v>
      </c>
      <c r="E25" s="17">
        <v>0.8</v>
      </c>
      <c r="G25" s="16" t="s">
        <v>25</v>
      </c>
      <c r="H25" s="16">
        <v>0.7</v>
      </c>
      <c r="I25" s="17">
        <v>0.9</v>
      </c>
      <c r="K25" s="34" t="s">
        <v>12</v>
      </c>
      <c r="L25" s="16">
        <v>0.32100000000000001</v>
      </c>
      <c r="M25" s="17">
        <v>0.35299999999999998</v>
      </c>
    </row>
    <row r="26" spans="3:13">
      <c r="C26" s="34" t="s">
        <v>25</v>
      </c>
      <c r="D26" s="1">
        <v>1.5</v>
      </c>
      <c r="E26" s="17">
        <v>0.6</v>
      </c>
      <c r="G26" s="16" t="s">
        <v>19</v>
      </c>
      <c r="H26" s="16">
        <v>0.6</v>
      </c>
      <c r="I26" s="17">
        <v>0.72</v>
      </c>
      <c r="K26" s="34" t="s">
        <v>16</v>
      </c>
      <c r="L26" s="16">
        <v>0.45</v>
      </c>
      <c r="M26" s="17">
        <v>0.56399999999999995</v>
      </c>
    </row>
    <row r="27" spans="3:13">
      <c r="C27" s="35" t="s">
        <v>26</v>
      </c>
      <c r="D27" s="28">
        <v>2.6</v>
      </c>
      <c r="E27" s="29">
        <v>1.8</v>
      </c>
      <c r="F27" s="35"/>
      <c r="G27" s="27"/>
      <c r="H27" s="27"/>
      <c r="I27" s="29"/>
      <c r="J27" s="35"/>
      <c r="K27" s="35" t="s">
        <v>24</v>
      </c>
      <c r="L27" s="27">
        <v>0.9</v>
      </c>
      <c r="M27" s="29">
        <v>0.57999999999999996</v>
      </c>
    </row>
  </sheetData>
  <mergeCells count="2">
    <mergeCell ref="A1:B1"/>
    <mergeCell ref="C8:M8"/>
  </mergeCells>
  <conditionalFormatting sqref="D11:D17">
    <cfRule type="expression" dxfId="16" priority="20">
      <formula>D11&lt;=E11</formula>
    </cfRule>
    <cfRule type="expression" dxfId="15" priority="21">
      <formula>D11&gt;E11</formula>
    </cfRule>
  </conditionalFormatting>
  <conditionalFormatting sqref="D13">
    <cfRule type="expression" dxfId="14" priority="14">
      <formula>$D$13&lt;$E$13</formula>
    </cfRule>
  </conditionalFormatting>
  <conditionalFormatting sqref="D21:D26">
    <cfRule type="expression" dxfId="13" priority="9">
      <formula>$D$21&gt;$E$21</formula>
    </cfRule>
  </conditionalFormatting>
  <conditionalFormatting sqref="D27">
    <cfRule type="expression" dxfId="12" priority="8">
      <formula>$D$27&gt;$E$27</formula>
    </cfRule>
  </conditionalFormatting>
  <conditionalFormatting sqref="H11:H14">
    <cfRule type="expression" dxfId="11" priority="16">
      <formula>$H$11&gt;$I$11</formula>
    </cfRule>
  </conditionalFormatting>
  <conditionalFormatting sqref="H11:H15">
    <cfRule type="expression" dxfId="10" priority="17">
      <formula>"$H11&gt;$I11"</formula>
    </cfRule>
    <cfRule type="expression" dxfId="9" priority="19">
      <formula>"$H11&lt;=$I11"</formula>
    </cfRule>
  </conditionalFormatting>
  <conditionalFormatting sqref="H15">
    <cfRule type="expression" dxfId="8" priority="15">
      <formula>$H$15&gt;$I$15</formula>
    </cfRule>
  </conditionalFormatting>
  <conditionalFormatting sqref="H21:H26">
    <cfRule type="expression" dxfId="7" priority="6">
      <formula>$H21&lt;=$I21</formula>
    </cfRule>
    <cfRule type="expression" dxfId="6" priority="7">
      <formula>$H21&gt;$I21</formula>
    </cfRule>
  </conditionalFormatting>
  <conditionalFormatting sqref="L11:L16">
    <cfRule type="expression" dxfId="5" priority="1">
      <formula>$L11&lt;=$M11</formula>
    </cfRule>
    <cfRule type="expression" dxfId="4" priority="2">
      <formula>$L11&gt;$M11</formula>
    </cfRule>
  </conditionalFormatting>
  <conditionalFormatting sqref="L17">
    <cfRule type="expression" dxfId="3" priority="11">
      <formula>$L$17&gt;$M$17</formula>
    </cfRule>
  </conditionalFormatting>
  <conditionalFormatting sqref="L21:L27">
    <cfRule type="expression" dxfId="2" priority="4">
      <formula>$L21&lt;=$M21</formula>
    </cfRule>
    <cfRule type="expression" dxfId="1" priority="5">
      <formula>$L21&gt;$M21</formula>
    </cfRule>
  </conditionalFormatting>
  <conditionalFormatting sqref="L23">
    <cfRule type="expression" dxfId="0" priority="3">
      <formula>$L23&gt;$M23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e8677e-c989-47b9-8619-d83d5a5f6c67}" enabled="0" method="" siteId="{04e8677e-c989-47b9-8619-d83d5a5f6c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Position Analysis</vt:lpstr>
      <vt:lpstr>Starting 5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mka274</cp:lastModifiedBy>
  <dcterms:created xsi:type="dcterms:W3CDTF">2026-09-15T05:10:41Z</dcterms:created>
  <dcterms:modified xsi:type="dcterms:W3CDTF">2026-10-12T02:10:13Z</dcterms:modified>
</cp:coreProperties>
</file>